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20"/>
  </bookViews>
  <sheets>
    <sheet name="Form Responses 1" sheetId="1" r:id="rId1"/>
    <sheet name="Closed_ended questions" sheetId="9" r:id="rId2"/>
    <sheet name="Q1_OpenEnded" sheetId="2" r:id="rId3"/>
    <sheet name="Q2_OpenEnded" sheetId="3" r:id="rId4"/>
    <sheet name="Q3_OpenEnded" sheetId="4" r:id="rId5"/>
    <sheet name="Q4_OpenEnded" sheetId="5" r:id="rId6"/>
    <sheet name="Q5_OpenEnded" sheetId="6" r:id="rId7"/>
    <sheet name="Q6_OpenEnded" sheetId="7" r:id="rId8"/>
    <sheet name="Q7_OpenEnded" sheetId="8" r:id="rId9"/>
  </sheets>
  <calcPr calcId="152511"/>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AO2" i="1" l="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Q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T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alcChain>
</file>

<file path=xl/sharedStrings.xml><?xml version="1.0" encoding="utf-8"?>
<sst xmlns="http://schemas.openxmlformats.org/spreadsheetml/2006/main" count="2150" uniqueCount="651">
  <si>
    <t>Timestamp</t>
  </si>
  <si>
    <t>Q1: What is your age group?</t>
  </si>
  <si>
    <t>Q1: What is your gender?</t>
  </si>
  <si>
    <t xml:space="preserve">Q2:  What is your nationality?  </t>
  </si>
  <si>
    <t xml:space="preserve">Q3: What is your highest level of education?  </t>
  </si>
  <si>
    <t>Q1.  Would you ever consider investing in gold?</t>
  </si>
  <si>
    <r>
      <rPr>
        <b/>
        <sz val="10"/>
        <color theme="1"/>
        <rFont val="Arial"/>
        <family val="2"/>
      </rPr>
      <t xml:space="preserve">Q2. Do you currently invest in any financial assets (for example: gold, stocks, bank deposits, cryptocurrency)? </t>
    </r>
    <r>
      <rPr>
        <sz val="10"/>
        <color theme="1"/>
        <rFont val="Arial"/>
        <family val="2"/>
      </rPr>
      <t xml:space="preserve"> </t>
    </r>
    <r>
      <rPr>
        <b/>
        <sz val="10"/>
        <color theme="1"/>
        <rFont val="Arial"/>
        <family val="2"/>
      </rPr>
      <t xml:space="preserve"> </t>
    </r>
  </si>
  <si>
    <t xml:space="preserve">Q1. Which types of assets do you currently invest in?   </t>
  </si>
  <si>
    <t xml:space="preserve">Q2.For the financial assets you currently invest in, how comfortable are you with them?  </t>
  </si>
  <si>
    <t xml:space="preserve"> Q1. What factors would make you want to start investing in financial assets?  </t>
  </si>
  <si>
    <t>Q1. How aware are you of TER?</t>
  </si>
  <si>
    <t xml:space="preserve">Q1.  Do you think TER could have value as a digital asset? </t>
  </si>
  <si>
    <r>
      <rPr>
        <b/>
        <sz val="10"/>
        <color theme="1"/>
        <rFont val="Arial"/>
        <family val="2"/>
      </rPr>
      <t>Q2:   Are you interested in digital assets such as cryptocurrencies?</t>
    </r>
    <r>
      <rPr>
        <sz val="10"/>
        <color theme="1"/>
        <rFont val="Arial"/>
        <family val="2"/>
      </rPr>
      <t xml:space="preserve">  </t>
    </r>
  </si>
  <si>
    <t xml:space="preserve">Q1.  What is the main reason you are not interested in digital assets? </t>
  </si>
  <si>
    <t xml:space="preserve">Q2.   Is there anything that could change your interest in digital assets in the future? </t>
  </si>
  <si>
    <t xml:space="preserve">Q1.  What motivates your interest in digital assets? </t>
  </si>
  <si>
    <t xml:space="preserve">Q2: If a digital asset is backed by gold, would you feel more confident in using it?  </t>
  </si>
  <si>
    <t xml:space="preserve">Q3: Once Gelephu Mindfulness City becomes operational, would you consider using a gold-backed digital asset (Ter) for:  </t>
  </si>
  <si>
    <t>Q4: What would make you consider using a gold-backed digital asset in the future?</t>
  </si>
  <si>
    <t>Q1.  How familiar are you with TER as a digital asset?</t>
  </si>
  <si>
    <r>
      <rPr>
        <b/>
        <sz val="10"/>
        <color theme="1"/>
        <rFont val="Arial"/>
        <family val="2"/>
      </rPr>
      <t xml:space="preserve">Q1: How interested are you in learning more about TER? </t>
    </r>
    <r>
      <rPr>
        <sz val="10"/>
        <color theme="1"/>
        <rFont val="Arial"/>
        <family val="2"/>
      </rPr>
      <t xml:space="preserve"> </t>
    </r>
  </si>
  <si>
    <t xml:space="preserve">Q2: Would you consider holding TER in the future?  </t>
  </si>
  <si>
    <t xml:space="preserve">Q3.What factors would make TER more appealing to you in the future?  </t>
  </si>
  <si>
    <t>Q1. How much do you trust TER?</t>
  </si>
  <si>
    <t>Q2. What factors would increase your trust in TER?</t>
  </si>
  <si>
    <t xml:space="preserve"> Q1.Which aspects of TER do you find appealing?  </t>
  </si>
  <si>
    <t xml:space="preserve">Q2: Gold-backed digital money (like TER) is more stable than regular cryptocurrencies.  </t>
  </si>
  <si>
    <t>Q3: Which digital asset type would you trust more for long-term value?</t>
  </si>
  <si>
    <t xml:space="preserve">Q4: Once Gelephu Mindfulness City becomes operational, would you consider using TER for:  </t>
  </si>
  <si>
    <t>Q5: Would clear government backing and regulation increase your confidence in using TER?</t>
  </si>
  <si>
    <r>
      <rPr>
        <b/>
        <sz val="10"/>
        <color theme="1"/>
        <rFont val="Arial"/>
        <family val="2"/>
      </rPr>
      <t xml:space="preserve">Q6: </t>
    </r>
    <r>
      <rPr>
        <sz val="10"/>
        <color theme="1"/>
        <rFont val="Arial"/>
        <family val="2"/>
      </rPr>
      <t xml:space="preserve"> </t>
    </r>
    <r>
      <rPr>
        <b/>
        <sz val="10"/>
        <color theme="1"/>
        <rFont val="Arial"/>
        <family val="2"/>
      </rPr>
      <t xml:space="preserve">What would influence your decision about TER in the future?   </t>
    </r>
  </si>
  <si>
    <t>18–28</t>
  </si>
  <si>
    <t>Male</t>
  </si>
  <si>
    <t>Bhutanese (living in Bhutan)</t>
  </si>
  <si>
    <t>Bachelor’s degree</t>
  </si>
  <si>
    <t>Yes</t>
  </si>
  <si>
    <t>No</t>
  </si>
  <si>
    <t xml:space="preserve">High interest and safety </t>
  </si>
  <si>
    <t>I know a little about it</t>
  </si>
  <si>
    <t>Slightly familiar</t>
  </si>
  <si>
    <t>Not sure / Maybe</t>
  </si>
  <si>
    <t xml:space="preserve">price fluctuation, interest rate, number of participants, </t>
  </si>
  <si>
    <t xml:space="preserve">Ter </t>
  </si>
  <si>
    <t>Moderately familiar</t>
  </si>
  <si>
    <t>Clear information about how TER works, Transparency about gold backing, Government or regulatory support, Real-world usage in GMC</t>
  </si>
  <si>
    <t>The fact that it is backed by gold, It is a digital asset (easy to hold and transfer), Innovation / use of blockchain technology</t>
  </si>
  <si>
    <t>Not sure</t>
  </si>
  <si>
    <t>Savings / store of value, Investment</t>
  </si>
  <si>
    <t xml:space="preserve">If we get more return </t>
  </si>
  <si>
    <t>Undergraduate</t>
  </si>
  <si>
    <t>Crypto</t>
  </si>
  <si>
    <t>The fact that it is a crypto currency backed by gold and Ter's price varies based on the changing price of gold..The fact that price of gold is constantly increasing makes me wonder how well the price of ter will increase</t>
  </si>
  <si>
    <t>Diploma / Certificate</t>
  </si>
  <si>
    <t>Ter</t>
  </si>
  <si>
    <t>Definitely yes</t>
  </si>
  <si>
    <t>Ter as a digital currency backed by gold</t>
  </si>
  <si>
    <t>High school or equivalent</t>
  </si>
  <si>
    <t xml:space="preserve">Increase in the value of the gold </t>
  </si>
  <si>
    <t>Probably yes</t>
  </si>
  <si>
    <t xml:space="preserve">If it is easily accessible </t>
  </si>
  <si>
    <t>Maybe</t>
  </si>
  <si>
    <t>For future saving</t>
  </si>
  <si>
    <t>TER would be more appealing to me in the future if it offers better job opportunities, clear career growth, practical training with real-world experience, competitive salary, supportive work environment, and chances for further learning and professional development. Access to modern technology and recognition of skills would also make TER more attractive</t>
  </si>
  <si>
    <t>Female</t>
  </si>
  <si>
    <t>safety</t>
  </si>
  <si>
    <t>Since bhutan is moving into world of digitalisation, I feel like investing in TER would be guarantee more security</t>
  </si>
  <si>
    <t>I don’t know about it at all</t>
  </si>
  <si>
    <t xml:space="preserve">Safe and trust worthy </t>
  </si>
  <si>
    <t>Investment</t>
  </si>
  <si>
    <t xml:space="preserve">Because the value of the gold keeps increasing annually </t>
  </si>
  <si>
    <t>Retirement Planning and Financial Security/Independence</t>
  </si>
  <si>
    <t xml:space="preserve">Savings accounts  </t>
  </si>
  <si>
    <t>Not familiar</t>
  </si>
  <si>
    <t>Higher or more stable returns 	•	Lower risk</t>
  </si>
  <si>
    <t xml:space="preserve">Bank deposit </t>
  </si>
  <si>
    <t>Not sure ....</t>
  </si>
  <si>
    <t>Bank deposits</t>
  </si>
  <si>
    <t>TER would be more appealing to me in the future if it offers job stability, fair compensation, growth opportunities, and a positive work environment with good work–life balance.</t>
  </si>
  <si>
    <t xml:space="preserve"> College Under graduate </t>
  </si>
  <si>
    <t>Price</t>
  </si>
  <si>
    <t>I’ve heard the name but don’t know details</t>
  </si>
  <si>
    <t xml:space="preserve">It's price </t>
  </si>
  <si>
    <t>Payments, Savings / Store of Value, Investment</t>
  </si>
  <si>
    <t xml:space="preserve">Investment </t>
  </si>
  <si>
    <t>I know a moderate amount</t>
  </si>
  <si>
    <t>Clear information about how TER works, Transparency about gold backing, Government or regulatory support, Security and safety of the platform, Real-world usage in GMC, Recommendations from trusted sources</t>
  </si>
  <si>
    <t>The fact that it is backed by gold, It is a digital asset (easy to hold and transfer)</t>
  </si>
  <si>
    <t>Gold-backed digital assets (like TER)</t>
  </si>
  <si>
    <t>Savings / store of value</t>
  </si>
  <si>
    <t xml:space="preserve">It is a digital asset backed by gold </t>
  </si>
  <si>
    <t xml:space="preserve">Bank deposits </t>
  </si>
  <si>
    <t xml:space="preserve">Economic growth </t>
  </si>
  <si>
    <t>Savings / Store of Value, Investment</t>
  </si>
  <si>
    <t xml:space="preserve">Nothing </t>
  </si>
  <si>
    <t>Gold</t>
  </si>
  <si>
    <t xml:space="preserve">Price </t>
  </si>
  <si>
    <t xml:space="preserve">More secure </t>
  </si>
  <si>
    <t>Security and safety of the platform</t>
  </si>
  <si>
    <t>Potential for stable value</t>
  </si>
  <si>
    <t>Nil</t>
  </si>
  <si>
    <t xml:space="preserve">To become financial secure and make balance between my asset and liability + equity </t>
  </si>
  <si>
    <t xml:space="preserve">Advancement in digital financing makes Ter more appealing in the future </t>
  </si>
  <si>
    <t>40–50</t>
  </si>
  <si>
    <t xml:space="preserve">No idea </t>
  </si>
  <si>
    <t xml:space="preserve">Value </t>
  </si>
  <si>
    <t>Real-world usage in GMC</t>
  </si>
  <si>
    <t xml:space="preserve">Increase in value of Ter </t>
  </si>
  <si>
    <t>I know a lot</t>
  </si>
  <si>
    <t>Very familiar</t>
  </si>
  <si>
    <t>Government or regulatory support, Recommendations from trusted sources</t>
  </si>
  <si>
    <t>The fact that it is backed by gold, Potential for stable value</t>
  </si>
  <si>
    <t>Backed by gold</t>
  </si>
  <si>
    <t>enough money to spend on investing on financial assets</t>
  </si>
  <si>
    <t>Clear information about how TER works, Transparency about gold backing, Government or regulatory support, Security and safety of the platform</t>
  </si>
  <si>
    <t>Payments, Savings / store of value, I would not use it</t>
  </si>
  <si>
    <t>real transactions ( buying of goods using TER )</t>
  </si>
  <si>
    <t xml:space="preserve">Long term financial independence </t>
  </si>
  <si>
    <t>Stability in value,privacy protection</t>
  </si>
  <si>
    <t>Prefer not to say</t>
  </si>
  <si>
    <t xml:space="preserve">1.Beating inflation . 2.Future goals. 3.extra income </t>
  </si>
  <si>
    <t>Lower risk and stable performance, especially during market fluctuations</t>
  </si>
  <si>
    <t xml:space="preserve">Financial security </t>
  </si>
  <si>
    <t xml:space="preserve">Secure investment </t>
  </si>
  <si>
    <t>TER</t>
  </si>
  <si>
    <t>Innovation / use of blockchain technology</t>
  </si>
  <si>
    <t>Payments, Savings / store of value, Investment</t>
  </si>
  <si>
    <t xml:space="preserve">Return on investment </t>
  </si>
  <si>
    <t>Kinda interesting and obviously return</t>
  </si>
  <si>
    <t>Their value</t>
  </si>
  <si>
    <t>Clear information about how TER works, Transparency about gold backing, Government or regulatory support, Security and safety of the platform, Real-world usage in GMC</t>
  </si>
  <si>
    <t>The fact that it is backed by gold</t>
  </si>
  <si>
    <t>Increase in value</t>
  </si>
  <si>
    <t>A known company which is trustworthy so that we can feel safe to invest</t>
  </si>
  <si>
    <t>Its value</t>
  </si>
  <si>
    <t>Theor interest</t>
  </si>
  <si>
    <t>Its Value</t>
  </si>
  <si>
    <t>Change me assets value</t>
  </si>
  <si>
    <t>Appreaciation of its value</t>
  </si>
  <si>
    <t>Government or regulatory support, Real-world usage in GMC</t>
  </si>
  <si>
    <t xml:space="preserve">Will be more effective in fuure </t>
  </si>
  <si>
    <t xml:space="preserve">Banking </t>
  </si>
  <si>
    <t>Through investing on ter</t>
  </si>
  <si>
    <t>Clear information about how TER works, Security and safety of the platform, Real-world usage in GMC</t>
  </si>
  <si>
    <t>The fact that it is backed by gold, Innovation / use of blockchain technology</t>
  </si>
  <si>
    <t>My decision to invest (TER) in the future would mainly be influenced by my income level, expected returns, and the level of risk involved. Factors such as financial knowledge, trust in institutions, government policies, and overall economic stability would also play an important role in shaping my decision.</t>
  </si>
  <si>
    <t>29–39</t>
  </si>
  <si>
    <t xml:space="preserve">Cryptocurrency </t>
  </si>
  <si>
    <t>The value of Ter</t>
  </si>
  <si>
    <t>The value of TER in future</t>
  </si>
  <si>
    <t>More advocacy</t>
  </si>
  <si>
    <t>Its gold backed</t>
  </si>
  <si>
    <t>Cryptocurrencies</t>
  </si>
  <si>
    <t>The benefits we receive from investment to TER</t>
  </si>
  <si>
    <t>Learning and empowerment</t>
  </si>
  <si>
    <t>Trusted issuer and long-term vision</t>
  </si>
  <si>
    <t>Doctorate / PhD</t>
  </si>
  <si>
    <t>Idk</t>
  </si>
  <si>
    <t>I think it will complicate things</t>
  </si>
  <si>
    <t>Not relevant to me</t>
  </si>
  <si>
    <t>No idea</t>
  </si>
  <si>
    <t>Crypto currency</t>
  </si>
  <si>
    <t>Strong security and government support</t>
  </si>
  <si>
    <t>Financial goals</t>
  </si>
  <si>
    <t>Payments</t>
  </si>
  <si>
    <t xml:space="preserve">Potential for stable value </t>
  </si>
  <si>
    <t xml:space="preserve">More knowledgeable information and safe security </t>
  </si>
  <si>
    <t>The fact that it is backed by gold, It is a digital asset (easy to hold and transfer), Potential for stable value</t>
  </si>
  <si>
    <t>.</t>
  </si>
  <si>
    <t>The fact that it is backed by gold, It is a digital asset (easy to hold and transfer), Potential for stable value, Innovation / use of blockchain technology</t>
  </si>
  <si>
    <t xml:space="preserve">Its useage coverage, stability, and convenience </t>
  </si>
  <si>
    <t>It is a digital asset (easy to hold and transfer), Innovation / use of blockchain technology</t>
  </si>
  <si>
    <t>Clear information and real life usages</t>
  </si>
  <si>
    <t>High price of gold</t>
  </si>
  <si>
    <t>Government or regulatory support</t>
  </si>
  <si>
    <t>It is a digital asset (easy to hold and transfer)</t>
  </si>
  <si>
    <t xml:space="preserve">Undergraduate </t>
  </si>
  <si>
    <t>Tee</t>
  </si>
  <si>
    <t xml:space="preserve">Price and its return </t>
  </si>
  <si>
    <t>Shares in Bank and Ter</t>
  </si>
  <si>
    <t xml:space="preserve">It is digital assets </t>
  </si>
  <si>
    <t>I do not trust digital assets</t>
  </si>
  <si>
    <t>51+</t>
  </si>
  <si>
    <t>Saving childrens education.</t>
  </si>
  <si>
    <t>Inspiring students and keping education relevant</t>
  </si>
  <si>
    <t>Educational value</t>
  </si>
  <si>
    <t>Bhutanese (living outside Bhutan)</t>
  </si>
  <si>
    <t xml:space="preserve">For future </t>
  </si>
  <si>
    <t xml:space="preserve">Expensive </t>
  </si>
  <si>
    <t>It helps during financial crisis</t>
  </si>
  <si>
    <t xml:space="preserve">The price and usage </t>
  </si>
  <si>
    <t xml:space="preserve">saving accounts </t>
  </si>
  <si>
    <t xml:space="preserve">might be </t>
  </si>
  <si>
    <t>Opportunity, Market participants and the value of the assets</t>
  </si>
  <si>
    <t xml:space="preserve">Market participants, Volatility </t>
  </si>
  <si>
    <t>Physical gold</t>
  </si>
  <si>
    <t>Master’s degree</t>
  </si>
  <si>
    <t>Education, Land and TER</t>
  </si>
  <si>
    <t>Clear information about how TER works, Transparency about gold backing, Security and safety of the platform, Real-world usage in GMC, Recommendations from trusted sources</t>
  </si>
  <si>
    <t>TER would have great impact for the people who are not able to earn physical gold and TER will be future currency</t>
  </si>
  <si>
    <t>Crytocurrencies</t>
  </si>
  <si>
    <t>Saving</t>
  </si>
  <si>
    <t>Bank</t>
  </si>
  <si>
    <t>Cost</t>
  </si>
  <si>
    <t>Transparency about gold backing</t>
  </si>
  <si>
    <t xml:space="preserve">Not sure </t>
  </si>
  <si>
    <t>Nothing</t>
  </si>
  <si>
    <t>Don't know</t>
  </si>
  <si>
    <t xml:space="preserve">Retirement </t>
  </si>
  <si>
    <t>I prefer traditional financial options(like cash, bank deposits, or gold)</t>
  </si>
  <si>
    <t>From my point of view the motivation to start investing in financial assets  through practical trigger and mindset financial needs like ,clear goals appear, basic financial literacy improve, personal motivation&amp;factors etc.</t>
  </si>
  <si>
    <t>Clear information about how TER works, Security and safety of the platform, Recommendations from trusted sources</t>
  </si>
  <si>
    <t>The fact that it is backed by gold, Potential for stable value, Innovation / use of blockchain technology</t>
  </si>
  <si>
    <t>“My decision about TER in the future would be influenced by the fund’s overall performance relative to its benchmark, consistency of returns, quality of fund management, transparency of costs, and whether the TER is justified by the value delivered compared to lower-cost alternatives.”</t>
  </si>
  <si>
    <t xml:space="preserve">If Value for Ter and USD/other hard currencies are maintained same.  </t>
  </si>
  <si>
    <t xml:space="preserve">Side income for long term goals like retirement or for wealthy life </t>
  </si>
  <si>
    <t xml:space="preserve">Now globally everything has become digital and it’s important to explore how it works with the growing market.Basically it motivates to have other side hustle </t>
  </si>
  <si>
    <t xml:space="preserve">Investments </t>
  </si>
  <si>
    <t xml:space="preserve">Bank Deposit </t>
  </si>
  <si>
    <t xml:space="preserve">Digital currency </t>
  </si>
  <si>
    <t>Cash</t>
  </si>
  <si>
    <t>-</t>
  </si>
  <si>
    <t xml:space="preserve">Crypto </t>
  </si>
  <si>
    <t>Nope</t>
  </si>
  <si>
    <t xml:space="preserve">Children's education and financial independence </t>
  </si>
  <si>
    <t xml:space="preserve">Performance consistency and efficiency </t>
  </si>
  <si>
    <t>Investing in financial stocks helps me to keep up with the value of money that reduces in long term due to factors such as inflation and disaster.</t>
  </si>
  <si>
    <t>I believe ter is like foreign countries dollar which has high value</t>
  </si>
  <si>
    <t>first it would be in bank</t>
  </si>
  <si>
    <t>The potential for investment growth, financial independence, and being part of modern digital financial systems motivates my interest.</t>
  </si>
  <si>
    <t>I’d consider using it if it’s well-regulated and secure</t>
  </si>
  <si>
    <t>For future benefits.</t>
  </si>
  <si>
    <t>Ownership right</t>
  </si>
  <si>
    <t xml:space="preserve">Might be for benefits </t>
  </si>
  <si>
    <t xml:space="preserve">Need good advertising </t>
  </si>
  <si>
    <t>The profit and high return</t>
  </si>
  <si>
    <t>Use in market</t>
  </si>
  <si>
    <t>Considering its value.</t>
  </si>
  <si>
    <t>Looks like digital currency will outstrip any currencies later.</t>
  </si>
  <si>
    <t>GMC Bonds</t>
  </si>
  <si>
    <t xml:space="preserve">Global accessibility </t>
  </si>
  <si>
    <t xml:space="preserve">Gold </t>
  </si>
  <si>
    <t>undergraduate</t>
  </si>
  <si>
    <t>Future financial security</t>
  </si>
  <si>
    <t>Improved financial awareness programs</t>
  </si>
  <si>
    <t>Government or regulatory support, Security and safety of the platform</t>
  </si>
  <si>
    <t>When i am financially stable</t>
  </si>
  <si>
    <t xml:space="preserve">Its security </t>
  </si>
  <si>
    <t>Security and safety of the platform, Real-world usage in GMC</t>
  </si>
  <si>
    <t xml:space="preserve">It's increasing value </t>
  </si>
  <si>
    <t>I have invested in Company Shares and most recently in TER</t>
  </si>
  <si>
    <t>There has been a quite but steady increase in the  number of countries backing their currencies with gold and international banks holding more gold reserves. This suggests a shift in the traditional practice of currency backing and highlights why currencies like TER are the way forward.</t>
  </si>
  <si>
    <t>For kids</t>
  </si>
  <si>
    <t xml:space="preserve">Through internet </t>
  </si>
  <si>
    <t>Buying TER</t>
  </si>
  <si>
    <t>Frequent, unexpected increases in TER can disrupt investor financial plans.</t>
  </si>
  <si>
    <t xml:space="preserve">Flexible </t>
  </si>
  <si>
    <t>Money</t>
  </si>
  <si>
    <t xml:space="preserve">Banks deposits </t>
  </si>
  <si>
    <t xml:space="preserve">To improve living standards </t>
  </si>
  <si>
    <t xml:space="preserve">It is saving </t>
  </si>
  <si>
    <t>Bussiness</t>
  </si>
  <si>
    <t>More interesting</t>
  </si>
  <si>
    <t xml:space="preserve">Buying shares </t>
  </si>
  <si>
    <t xml:space="preserve">Shares </t>
  </si>
  <si>
    <t>I dont know</t>
  </si>
  <si>
    <t xml:space="preserve">Their return </t>
  </si>
  <si>
    <t xml:space="preserve">Return </t>
  </si>
  <si>
    <t>Nth</t>
  </si>
  <si>
    <t>Loan</t>
  </si>
  <si>
    <t>I find them too risky or volatile</t>
  </si>
  <si>
    <t xml:space="preserve"> house rent or financial independence.</t>
  </si>
  <si>
    <t>The lower the TER, the more the  money stays in pocket to compound.</t>
  </si>
  <si>
    <t>Yer</t>
  </si>
  <si>
    <t>Transparency about gold backing, Real-world usage in GMC, Recommendations from trusted sources</t>
  </si>
  <si>
    <t xml:space="preserve">  Investment more</t>
  </si>
  <si>
    <t xml:space="preserve">Future benefits </t>
  </si>
  <si>
    <t>Clear information about how TER works, Transparency about gold backing, Security and safety of the platform</t>
  </si>
  <si>
    <t xml:space="preserve">Transparency </t>
  </si>
  <si>
    <t>Under 18</t>
  </si>
  <si>
    <t>Savings / Store of Value</t>
  </si>
  <si>
    <t xml:space="preserve">Games that makes us earn money </t>
  </si>
  <si>
    <t xml:space="preserve">Don't know </t>
  </si>
  <si>
    <t xml:space="preserve">I guess for generating revenue </t>
  </si>
  <si>
    <t>No answer</t>
  </si>
  <si>
    <t xml:space="preserve">Better return </t>
  </si>
  <si>
    <t>I do not understand how they work</t>
  </si>
  <si>
    <t>Transparency about gold backing, Government or regulatory support</t>
  </si>
  <si>
    <t xml:space="preserve">Feature investment </t>
  </si>
  <si>
    <t>Online business</t>
  </si>
  <si>
    <t>By reducing the amount of gold and incrige them to buy</t>
  </si>
  <si>
    <t xml:space="preserve">Business like nursery </t>
  </si>
  <si>
    <t xml:space="preserve">Yes if ter could decreases the prices </t>
  </si>
  <si>
    <t>Personal financial goals</t>
  </si>
  <si>
    <t>High financial return</t>
  </si>
  <si>
    <t>Long term storage of value</t>
  </si>
  <si>
    <t xml:space="preserve">Value and currency impact </t>
  </si>
  <si>
    <t xml:space="preserve">Crypto currency </t>
  </si>
  <si>
    <t xml:space="preserve">The potential for secure, transparent transactions and all the possibilities it opens up is pretty fascinating. </t>
  </si>
  <si>
    <t xml:space="preserve"> For me, it'd be all about the stability and security it offers. </t>
  </si>
  <si>
    <t>It's soft and fastest..</t>
  </si>
  <si>
    <t xml:space="preserve">Quality and interesting </t>
  </si>
  <si>
    <t xml:space="preserve">I thought of investing ter </t>
  </si>
  <si>
    <t xml:space="preserve">Earning more profit </t>
  </si>
  <si>
    <t>Yes  i do</t>
  </si>
  <si>
    <t>Business</t>
  </si>
  <si>
    <t>I don't know about this but wanna know about this ter</t>
  </si>
  <si>
    <t>I don't understand</t>
  </si>
  <si>
    <t xml:space="preserve">Cardamom </t>
  </si>
  <si>
    <t xml:space="preserve">Exploring </t>
  </si>
  <si>
    <t xml:space="preserve">It is finding a balance between the security of physical gold and the convenience of blockchain technology. </t>
  </si>
  <si>
    <t xml:space="preserve">More important </t>
  </si>
  <si>
    <t>Non</t>
  </si>
  <si>
    <t>Payments, Savings / store of value</t>
  </si>
  <si>
    <t xml:space="preserve">Very important </t>
  </si>
  <si>
    <t xml:space="preserve">Future return </t>
  </si>
  <si>
    <t xml:space="preserve">It’s value </t>
  </si>
  <si>
    <t>cryptocurrencies</t>
  </si>
  <si>
    <t>seems buying a ter is buying a little portion of gold and presently investing in GMC</t>
  </si>
  <si>
    <t xml:space="preserve">any factors </t>
  </si>
  <si>
    <t xml:space="preserve">Everything </t>
  </si>
  <si>
    <t>High interest</t>
  </si>
  <si>
    <t xml:space="preserve">High interest </t>
  </si>
  <si>
    <t xml:space="preserve">If it is valuable </t>
  </si>
  <si>
    <t xml:space="preserve">If it is valuable in the future </t>
  </si>
  <si>
    <t>Payments, Savings / Store of Value</t>
  </si>
  <si>
    <t xml:space="preserve">More value </t>
  </si>
  <si>
    <t xml:space="preserve">Saving </t>
  </si>
  <si>
    <t>Profit</t>
  </si>
  <si>
    <t xml:space="preserve">Because of its increasing value </t>
  </si>
  <si>
    <t>Transparency about gold backing, Real-world usage in GMC</t>
  </si>
  <si>
    <t xml:space="preserve">It's value </t>
  </si>
  <si>
    <t>International resident</t>
  </si>
  <si>
    <t>Physical gold and silver, crypto, land and shares</t>
  </si>
  <si>
    <t>If it could perform as well as bitcoin</t>
  </si>
  <si>
    <r>
      <rPr>
        <b/>
        <sz val="10"/>
        <color rgb="FF000000"/>
        <rFont val="Arial"/>
        <family val="2"/>
        <scheme val="minor"/>
      </rPr>
      <t>Q1. Which types of assets do you currently invest in?</t>
    </r>
    <r>
      <rPr>
        <sz val="10"/>
        <color rgb="FF000000"/>
        <rFont val="Arial"/>
        <family val="2"/>
        <scheme val="minor"/>
      </rPr>
      <t xml:space="preserve">   </t>
    </r>
  </si>
  <si>
    <t>Repeated words / variants observed:</t>
  </si>
  <si>
    <t>TER / Ter / TER / Tee / Yer</t>
  </si>
  <si>
    <t>Bank deposit / Bank deposits / Banking / Bank</t>
  </si>
  <si>
    <t>Crypto / Crypto currency / Cryptocurrency</t>
  </si>
  <si>
    <t>Saving / Savings accounts</t>
  </si>
  <si>
    <t>Shares</t>
  </si>
  <si>
    <t>Land</t>
  </si>
  <si>
    <t>Bonds</t>
  </si>
  <si>
    <t>Neutral themes used for grouping:</t>
  </si>
  <si>
    <t>Bank Deposits / Banking</t>
  </si>
  <si>
    <t>Savings</t>
  </si>
  <si>
    <t>Gold / Precious Metals</t>
  </si>
  <si>
    <t>Land / Education Assets</t>
  </si>
  <si>
    <t>None</t>
  </si>
  <si>
    <t>Mixed Assets</t>
  </si>
  <si>
    <t>Theme frequency (Q1):</t>
  </si>
  <si>
    <t>TER: 20</t>
  </si>
  <si>
    <t>Bank Deposits / Banking: 7</t>
  </si>
  <si>
    <t>Crypto: 4</t>
  </si>
  <si>
    <t>Savings: 3</t>
  </si>
  <si>
    <t>Shares: 3</t>
  </si>
  <si>
    <t>Mixed Assets: 4</t>
  </si>
  <si>
    <t>Gold / Precious Metals: 2</t>
  </si>
  <si>
    <t>Land / Education Assets: 2</t>
  </si>
  <si>
    <t>None: 2</t>
  </si>
  <si>
    <t>Cash: 1</t>
  </si>
  <si>
    <t>Bonds: 1</t>
  </si>
  <si>
    <t>Business: 1</t>
  </si>
  <si>
    <t>Most frequent theme: TER</t>
  </si>
  <si>
    <t>Least frequent themes: Cash, Bonds, Business</t>
  </si>
  <si>
    <t>Co-occurrence observed:</t>
  </si>
  <si>
    <t>TER appears with Shares</t>
  </si>
  <si>
    <t>TER appears with Land / Education</t>
  </si>
  <si>
    <t>Some responses contain multiple asset types</t>
  </si>
  <si>
    <t>Some themes appear alone</t>
  </si>
  <si>
    <t>Response length observations:</t>
  </si>
  <si>
    <t>Most responses are 1–2 words</t>
  </si>
  <si>
    <t>Some responses are 2–3 lines</t>
  </si>
  <si>
    <t>Few responses are noticeably longer (mixed-asset lists)</t>
  </si>
  <si>
    <t>Outlier responses:</t>
  </si>
  <si>
    <t>Misspelled entries: “Tee”, “Yer”</t>
  </si>
  <si>
    <t>Future-oriented response: “I thought of investing ter”</t>
  </si>
  <si>
    <t>Explicit absence: “Nothing”, “Non”</t>
  </si>
  <si>
    <r>
      <rPr>
        <b/>
        <sz val="10"/>
        <color rgb="FF000000"/>
        <rFont val="Arial"/>
        <family val="2"/>
        <scheme val="minor"/>
      </rPr>
      <t>Q2. What factors would make you want to start investing in financial assets?</t>
    </r>
    <r>
      <rPr>
        <sz val="10"/>
        <color rgb="FF000000"/>
        <rFont val="Arial"/>
        <family val="2"/>
        <scheme val="minor"/>
      </rPr>
      <t xml:space="preserve">  </t>
    </r>
  </si>
  <si>
    <t>Repeated Words / Variants</t>
  </si>
  <si>
    <t>TER / Buying TER</t>
  </si>
  <si>
    <t>Bank / Bank deposit / Banks deposits / first it would be in bank</t>
  </si>
  <si>
    <t>Crypto / Cryptocurrency / Crypto currency / Cryptocurrencies / Crytocurrencies</t>
  </si>
  <si>
    <t>Gold / High price of gold / Increase in the value of gold</t>
  </si>
  <si>
    <t>Safety / Secure / Security / Trustworthy / Financial security / Safety</t>
  </si>
  <si>
    <t>Future / For future / Future benefits / For future saving / Future return</t>
  </si>
  <si>
    <t>Financial goals / Personal financial goals / Retirement / Retirement Planning / Long-term financial independence</t>
  </si>
  <si>
    <t>Return / Profit / High return / Better return / Value of the assets</t>
  </si>
  <si>
    <t>Children / Kids / Saving children’s education</t>
  </si>
  <si>
    <t>Business / Online business / Bussiness / Games that makes us earn money / Cardamom</t>
  </si>
  <si>
    <t>No idea / Idk / any factors</t>
  </si>
  <si>
    <t>Other variants: Opportunity, Side income, Flexible, Loan, House rent</t>
  </si>
  <si>
    <t>Neutral Themes Identified</t>
  </si>
  <si>
    <t>1. TER</t>
  </si>
  <si>
    <t>2. Bank / Bank deposits</t>
  </si>
  <si>
    <t>3. Crypto / Cryptocurrency</t>
  </si>
  <si>
    <t>4. Gold / Precious Metals</t>
  </si>
  <si>
    <t>5. Financial Security / Safety / Trust</t>
  </si>
  <si>
    <t>6. Future / Long-term planning / Retirement</t>
  </si>
  <si>
    <t>7. Return / Profit / Value increase</t>
  </si>
  <si>
    <t>8. Children / Education</t>
  </si>
  <si>
    <t>9. Personal / Financial goals</t>
  </si>
  <si>
    <t>10. Business / Side income / Online business / Games</t>
  </si>
  <si>
    <t>11. No idea / Unclear</t>
  </si>
  <si>
    <t>12. Other / Miscellaneous (loan, flexible, cardamom, etc.)</t>
  </si>
  <si>
    <t>Theme Counts (n = ~70 responses)</t>
  </si>
  <si>
    <t>TER: 3</t>
  </si>
  <si>
    <t>Bank / Bank deposits: 6</t>
  </si>
  <si>
    <t>Crypto / Cryptocurrency: 8</t>
  </si>
  <si>
    <t>Gold / Precious Metals: 4</t>
  </si>
  <si>
    <t>Financial Security / Safety / Trust: 5</t>
  </si>
  <si>
    <t>Future / Long-term planning / Retirement: 10</t>
  </si>
  <si>
    <t>Return / Profit / Value increase: 5</t>
  </si>
  <si>
    <t>Children / Education: 3</t>
  </si>
  <si>
    <t>Personal / Financial goals: 5</t>
  </si>
  <si>
    <t>Business / Side income / Online business / Games: 6</t>
  </si>
  <si>
    <t>No idea / Unclear: 3</t>
  </si>
  <si>
    <t>Other / Miscellaneous: 2</t>
  </si>
  <si>
    <t>Most frequent theme: Future / Long-term planning / Retirement</t>
  </si>
  <si>
    <t>Least frequent themes: Other / Miscellaneous</t>
  </si>
  <si>
    <t>Co-Occurrence Observed</t>
  </si>
  <si>
    <t>Crypto often appears with: Return / Profit / Value increase</t>
  </si>
  <si>
    <t>Bank deposits sometimes appear with TER or Future planning</t>
  </si>
  <si>
    <t>Gold often appears with Return / Value increase</t>
  </si>
  <si>
    <t>Children / Education sometimes appears with Financial Security or Future</t>
  </si>
  <si>
    <t>Response Length &amp; Density</t>
  </si>
  <si>
    <t>Most responses: 1–2 lines</t>
  </si>
  <si>
    <t>Several responses: 2–3 lines (longer, descriptive)</t>
  </si>
  <si>
    <t>Few responses: multiple lines combining multiple factors</t>
  </si>
  <si>
    <t>Outliers</t>
  </si>
  <si>
    <t>Misspellings / variants: “Crytocurrencies”, “Bussiness”</t>
  </si>
  <si>
    <t>Novel assets or unusual responses: “Cardamom”, “Games that makes us earn money”</t>
  </si>
  <si>
    <t>Vague responses: “any factors”, “No idea”, “Idk”</t>
  </si>
  <si>
    <t xml:space="preserve">Q3. Is there anything that could change your interest in digital assets in the future? </t>
  </si>
  <si>
    <t>Observed frequent words and variants:</t>
  </si>
  <si>
    <t>No idea / No / Nope → appears 4 times</t>
  </si>
  <si>
    <t>Yes / Maybe / Yes if… → appears 3 times</t>
  </si>
  <si>
    <t>Need good advertising → appears once</t>
  </si>
  <si>
    <t>High interest → appears once</t>
  </si>
  <si>
    <t>Price / TER decreases the prices → appears onc</t>
  </si>
  <si>
    <t>1. No change / Uncertain → “No idea”, “No”, “Nope”</t>
  </si>
  <si>
    <t>2. Yes / Conditional change → “Yes”, “Maybe”, “Yes if TER could decrease the prices”</t>
  </si>
  <si>
    <t>3. Advertising / Awareness → “Need good advertising”</t>
  </si>
  <si>
    <t>4. Financial incentive / High returns → “High interest”</t>
  </si>
  <si>
    <t>Theme Counts (n = 9 responses)</t>
  </si>
  <si>
    <t>No change / Uncertain: 4</t>
  </si>
  <si>
    <t>Yes / Conditional change: 3</t>
  </si>
  <si>
    <t>Advertising / Awareness: 1</t>
  </si>
  <si>
    <t>Financial incentive / High returns: 1</t>
  </si>
  <si>
    <t>Most frequent theme: No change / Uncertain</t>
  </si>
  <si>
    <t>Least frequent themes: Advertising / Awareness, Financial incentive / High returns</t>
  </si>
  <si>
    <t>Other themes mostly appear alone</t>
  </si>
  <si>
    <t>Conditional “Yes” responses sometimes include specific triggers (price decrease)</t>
  </si>
  <si>
    <t>Most responses: 1 word (“No”, “Yes”, “Maybe”)</t>
  </si>
  <si>
    <t>Few responses: short sentences (2–3 words)</t>
  </si>
  <si>
    <t>No multi-line responses in this question</t>
  </si>
  <si>
    <t>“Need good advertising” → unique trigger</t>
  </si>
  <si>
    <t>“High interest” → unique financial factor</t>
  </si>
  <si>
    <t>“Yes if TER could decreases the prices” → long conditional response</t>
  </si>
  <si>
    <r>
      <rPr>
        <b/>
        <sz val="10"/>
        <color rgb="FF000000"/>
        <rFont val="Arial"/>
        <family val="2"/>
        <scheme val="minor"/>
      </rPr>
      <t>Q4. What motivates your interest in digital assets?</t>
    </r>
    <r>
      <rPr>
        <sz val="10"/>
        <color rgb="FF000000"/>
        <rFont val="Arial"/>
        <family val="2"/>
        <scheme val="minor"/>
      </rPr>
      <t xml:space="preserve"> </t>
    </r>
  </si>
  <si>
    <t>Value / Its value / Value and currency impact → appears 4 times</t>
  </si>
  <si>
    <t>Price / It’s price → appears 2 times</t>
  </si>
  <si>
    <t>Return / Profit / High financial return / Earning more profit / Kinda interesting and obviously return → appears 5 times</t>
  </si>
  <si>
    <t>Learning / Education / Empowerment / Inspiring students / Explore / Exploring → appears 4 times</t>
  </si>
  <si>
    <t>Safety / Safe and trustworthy / Secure / Transparent transactions → appears 3 times</t>
  </si>
  <si>
    <t>Money / Shares / Ter → appears 3 times</t>
  </si>
  <si>
    <t>Economic growth / Living standards / Financial independence / Investment growth → appears 4 times</t>
  </si>
  <si>
    <t>Digital / Internet / Modern digital financial systems → appears 3 times</t>
  </si>
  <si>
    <t>No idea / I don’t know → appears 2 times</t>
  </si>
  <si>
    <t>1. Return / Profit / High financial return</t>
  </si>
  <si>
    <t>2. Value / Price / Currency impact</t>
  </si>
  <si>
    <t>3. Learning / Education / Empowerment / Exploration</t>
  </si>
  <si>
    <t>4. Safety / Security / Trust / Transparent transactions</t>
  </si>
  <si>
    <t>5. Economic growth / Financial independence / Living standards / Investment growth</t>
  </si>
  <si>
    <t>6. Digital / Technology / Internet / Modern systems</t>
  </si>
  <si>
    <t>7. Money / Shares / TER / Assets</t>
  </si>
  <si>
    <t>8. No idea / Unknown / Uncertain</t>
  </si>
  <si>
    <t>Return / Profit: 5</t>
  </si>
  <si>
    <t>Value / Price: 6</t>
  </si>
  <si>
    <t>Learning / Education: 4</t>
  </si>
  <si>
    <t>Safety / Security / Trust: 3</t>
  </si>
  <si>
    <t>Economic growth / Financial independence: 4</t>
  </si>
  <si>
    <t>Digital / Technology / Internet: 3</t>
  </si>
  <si>
    <t>Money / Shares / TER: 3</t>
  </si>
  <si>
    <t>No idea / Unknown: 2</t>
  </si>
  <si>
    <t>Most frequent theme: Value / Price</t>
  </si>
  <si>
    <t>Least frequent theme: No idea / Unknown</t>
  </si>
  <si>
    <t>Theme Counts (n = 27 responses)</t>
  </si>
  <si>
    <t>Value / Price often appears together with Return / Profit</t>
  </si>
  <si>
    <t>Learning / Education sometimes mentioned with Digital / Technology</t>
  </si>
  <si>
    <t>Safety / Security appears alone in most cases</t>
  </si>
  <si>
    <t>Most responses: 1–2 words or short phrases (“Price”, “Return”)</t>
  </si>
  <si>
    <t>Several responses: 2–3 lines, longer sentences describing motivation</t>
  </si>
  <si>
    <t>Few responses: multi-line, detailed explanation (e.g., “The potential for investment growth, financial independence, and being part of modern digital financial systems motivates my interest.”)</t>
  </si>
  <si>
    <t>“Now globally everything has become digital and it’s important to explore how it works with the growing market. Basically it motivates to have other side hustle”</t>
  </si>
  <si>
    <t>“The potential for secure, transparent transactions and all the possibilities it opens up is pretty fascinating.”</t>
  </si>
  <si>
    <t>“I don’t know about this but wanna know about this ter”</t>
  </si>
  <si>
    <t>Spelling / minor variants: “It’s price”, “Its value”</t>
  </si>
  <si>
    <t>Q5: What would make you consider using a gold-backed digital asset in the future?</t>
  </si>
  <si>
    <t>Value / Their value / More value / Because of its increasing value → appears 6 times</t>
  </si>
  <si>
    <t>Investment / Investments → appears 4 times</t>
  </si>
  <si>
    <t>Saving / It is saving → appears 3 times</t>
  </si>
  <si>
    <t>Security / Secure / Stability / Well-regulated → appears 4 times</t>
  </si>
  <si>
    <t>Gold / Gold-backed / Physical gold → appears 3 times</t>
  </si>
  <si>
    <t>Idk / No idea / I don’t know / Nth → appears 4 times</t>
  </si>
  <si>
    <t>Ter → appears 1 time</t>
  </si>
  <si>
    <t>Educational value → 1 time</t>
  </si>
  <si>
    <t xml:space="preserve">Repeated Words </t>
  </si>
  <si>
    <t>Quality / Interesting → 1 time</t>
  </si>
  <si>
    <t>2. Investment / Investment potential</t>
  </si>
  <si>
    <t>3. Security / Stability / Regulation</t>
  </si>
  <si>
    <t>4. Saving / Preservation of wealth</t>
  </si>
  <si>
    <t>5. Gold / Gold-backed</t>
  </si>
  <si>
    <t>1. Value / Appreciation → mentions of increasing value</t>
  </si>
  <si>
    <t>6. Uncertain / Unknown → “Idk”, “No idea”, “I don’t know”, “Nth”</t>
  </si>
  <si>
    <t>7. Ter → single mention</t>
  </si>
  <si>
    <t>8. Educational / Learning → “Educational value”</t>
  </si>
  <si>
    <t>9. Other / Miscellaneous → “Quality / Interesting”, “Yes I do”, “Balance between security and blockchain”</t>
  </si>
  <si>
    <t>Theme Counts (n = ~27 responses)</t>
  </si>
  <si>
    <t>Value / Appreciation: 6</t>
  </si>
  <si>
    <t>Investment / Investment potential: 4</t>
  </si>
  <si>
    <t>Security / Stability / Regulation: 4</t>
  </si>
  <si>
    <t>Saving / Preservation: 3</t>
  </si>
  <si>
    <t>Gold / Gold-backed: 3</t>
  </si>
  <si>
    <t>Uncertain / Unknown: 4</t>
  </si>
  <si>
    <t>Ter: 1</t>
  </si>
  <si>
    <t>Educational / Learning: 1</t>
  </si>
  <si>
    <t>Other / Miscellaneous: 1</t>
  </si>
  <si>
    <t>Most frequent theme: Value / Appreciation</t>
  </si>
  <si>
    <t>Least frequent themes: Ter, Educational / Learning, Other</t>
  </si>
  <si>
    <t>Security / Stability often appears with Value or Investment in responses</t>
  </si>
  <si>
    <t>Some responses mention multiple ideas together, e.g., “balance between the security of physical gold and the convenience of blockchain technology”</t>
  </si>
  <si>
    <t>Uncertain / Unknown responses appear alone</t>
  </si>
  <si>
    <t>Most responses: 1–2 words (“Investment”, “Value”)</t>
  </si>
  <si>
    <t>Several responses: 1 short sentence (“More secure”, “Long term storage of value”)</t>
  </si>
  <si>
    <t>Few responses: multi-line, descriptive sentences (e.g., “For me, it'd be all about the stability and security it offers.”)</t>
  </si>
  <si>
    <t>Unique responses:</t>
  </si>
  <si>
    <t>“Ter” → unusual for this question</t>
  </si>
  <si>
    <t>“Educational value” → single mention</t>
  </si>
  <si>
    <t>“Quality and interesting” → single mention</t>
  </si>
  <si>
    <t>“It is finding a balance between the security of physical gold and the convenience of blockchain technology.” → long and detailed</t>
  </si>
  <si>
    <t>Uncertain responses:</t>
  </si>
  <si>
    <t>“Idk”, “No idea”, “I don’t know”, “Nth”</t>
  </si>
  <si>
    <r>
      <rPr>
        <b/>
        <sz val="10"/>
        <color rgb="FF000000"/>
        <rFont val="Arial"/>
        <family val="2"/>
        <scheme val="minor"/>
      </rPr>
      <t xml:space="preserve">Q6.What factors would make TER more appealing to you in the future? </t>
    </r>
    <r>
      <rPr>
        <sz val="10"/>
        <color rgb="FF000000"/>
        <rFont val="Arial"/>
        <family val="2"/>
        <scheme val="minor"/>
      </rPr>
      <t xml:space="preserve"> </t>
    </r>
  </si>
  <si>
    <t>TER / Ter / The value of TER / Its value / Its Value / The value of Ter / Gold-backed → appears ~15 times</t>
  </si>
  <si>
    <t>Price / Price fluctuation / Cost / Expensive → appears ~6 times</t>
  </si>
  <si>
    <t>Stability / Stable / Lower risk / Secure investment → appears ~5 times</t>
  </si>
  <si>
    <t>Returns / Appreciation / Increasing value / Return → appears ~6 times</t>
  </si>
  <si>
    <t>Digital / Digital currency / Crypto currency / Global accessibility → appears ~5 times</t>
  </si>
  <si>
    <t>Job / Career / Work environment / Learning / Professional development → appears 3 times</t>
  </si>
  <si>
    <t>No idea / Don’t know / No answer / Not sure → appears 6 times</t>
  </si>
  <si>
    <t>Physical gold / Gold / GMC → appears 4 times</t>
  </si>
  <si>
    <t>Other terms / Miscellaneous → e.g., “More interesting”, “Everything”, “If it could perform as well as bitcoin”, “By reducing the amount of gold …”</t>
  </si>
  <si>
    <t>2. Price / Cost / Price fluctuation / Expensive</t>
  </si>
  <si>
    <t>3. Stability / Lower risk / Secure / Steady performance</t>
  </si>
  <si>
    <t>4. Returns / Appreciation / Increasing value / Financial gains</t>
  </si>
  <si>
    <t>5. Digital / Crypto / Digital currency / Global accessibility</t>
  </si>
  <si>
    <t>6. Job / Career / Work opportunities / Learning / Professional development</t>
  </si>
  <si>
    <t>7. No idea / Unknown / Not sure / Don’t know / No answer</t>
  </si>
  <si>
    <t>8. Physical gold / Gold / GMC investment</t>
  </si>
  <si>
    <t>1. TER / Value / Gold-backed → includes “Its value”, “The value of TER”, “Gold-backed”</t>
  </si>
  <si>
    <t>9. Other / Miscellaneous / Unique observations → includes long descriptive ideas like bitcoin comparison, unusual strategies</t>
  </si>
  <si>
    <t>Price / Cost / Price fluctuation / Expensive: 6</t>
  </si>
  <si>
    <t>Stability / Lower risk / Secure / Steady performance: 5</t>
  </si>
  <si>
    <t>Returns / Appreciation / Increasing value / Financial gains: 6</t>
  </si>
  <si>
    <t>Digital / Crypto / Digital currency / Global accessibility: 5</t>
  </si>
  <si>
    <t>Job / Career / Work opportunities / Learning: 3</t>
  </si>
  <si>
    <t>No idea / Unknown / Not sure / Don’t know / No answer: 6</t>
  </si>
  <si>
    <t>Physical gold / Gold / GMC: 4</t>
  </si>
  <si>
    <t>Other / Miscellaneous: 4</t>
  </si>
  <si>
    <t>Most frequent theme: TER / Value / Gold-backed</t>
  </si>
  <si>
    <t>Least frequent themes: Job / Career / Work opportunities / Learning, Other / Miscellaneous</t>
  </si>
  <si>
    <t>Theme Counts (n = 48 responses)</t>
  </si>
  <si>
    <t>TER / Value / Gold-backed: 9</t>
  </si>
  <si>
    <t>Price and Returns often appear together</t>
  </si>
  <si>
    <t>TER / Value often mentioned alongside Gold-backed or Digital currency</t>
  </si>
  <si>
    <t>Job / Career / Learning sometimes mentioned together in long responses</t>
  </si>
  <si>
    <t>“No idea / Don’t know” responses appear alone</t>
  </si>
  <si>
    <t>Most responses: 1–2 words (“Expensive”, “Physical gold”, “Price fluctuation”)</t>
  </si>
  <si>
    <t>Several responses: 1 short sentence</t>
  </si>
  <si>
    <t>Many responses: multi-line, long sentences describing multiple factors (e.g., “The fact that price of gold is constantly increasing makes me wonder how well the price of TER will increase”)</t>
  </si>
  <si>
    <t>Some responses are very long and detailed, combining multiple ideas</t>
  </si>
  <si>
    <t>Unique / unusual responses:</t>
  </si>
  <si>
    <t>“By reducing the amount of gold and incrige them to buy”</t>
  </si>
  <si>
    <t>“Everything”</t>
  </si>
  <si>
    <t>“If it could perform as well as bitcoin”</t>
  </si>
  <si>
    <t>Very long descriptive responses combining multiple triggers, like career growth + technology + digital exposure</t>
  </si>
  <si>
    <t>Uncertain / vague:</t>
  </si>
  <si>
    <t>“No idea”, “Don’t know”, “Not sure”, “No answer”</t>
  </si>
  <si>
    <r>
      <rPr>
        <b/>
        <sz val="10"/>
        <color rgb="FF000000"/>
        <rFont val="Arial"/>
        <family val="2"/>
        <scheme val="minor"/>
      </rPr>
      <t xml:space="preserve">Q7: What would influence your decision about TER in the future? </t>
    </r>
    <r>
      <rPr>
        <sz val="10"/>
        <color rgb="FF000000"/>
        <rFont val="Arial"/>
        <family val="2"/>
        <scheme val="minor"/>
      </rPr>
      <t xml:space="preserve">  </t>
    </r>
  </si>
  <si>
    <t>Gold / Backed by gold / Digital asset backed by gold → appears 5 times</t>
  </si>
  <si>
    <t>Return / Increase in value / Expected returns / More return / Performance consistency → appears 6 times</t>
  </si>
  <si>
    <t>Investment / Feature investment / Investment more → appears 3 times</t>
  </si>
  <si>
    <t>Security / Strong security / Government support → appears 2 times</t>
  </si>
  <si>
    <t>Digital / Digital assets / It is digital assets / It is a digital asset → appears 4 times</t>
  </si>
  <si>
    <t>Usage / Use / Real transactions / Its usage coverage / Convenience → appears 3 times</t>
  </si>
  <si>
    <t>Transparency / Clear information / Overall performance / Fund management / Efficiency → appears 4 times</t>
  </si>
  <si>
    <t>Not sure / Nil / No → appears 3 times</t>
  </si>
  <si>
    <t>Repeated Words</t>
  </si>
  <si>
    <t>TER / Ter / Its value / It’s value / It’s value → appears 4 times</t>
  </si>
  <si>
    <t>1. TER / Its value</t>
  </si>
  <si>
    <t>2. Gold / Gold-backed / Digital asset backed by gold</t>
  </si>
  <si>
    <t>3. Return / Increase in value / Expected returns / Performance consistency</t>
  </si>
  <si>
    <t>4. Investment / Investment-related</t>
  </si>
  <si>
    <t>5. Security / Government support / Stability</t>
  </si>
  <si>
    <t>6. Digital / Digital assets / Digital use</t>
  </si>
  <si>
    <t>7. Usage / Convenience / Real transactions / Market use</t>
  </si>
  <si>
    <t>8. Transparency / Clear information / Fund management / Efficiency</t>
  </si>
  <si>
    <t>9. Uncertain / Nil / No / Not sure</t>
  </si>
  <si>
    <t>Gold / Gold-backed: 5</t>
  </si>
  <si>
    <t>Return / Increase in value / Performance: 6</t>
  </si>
  <si>
    <t>Investment / Investment-related: 3</t>
  </si>
  <si>
    <t>Security / Government support / Stability: 2</t>
  </si>
  <si>
    <t>Digital / Digital assets: 4</t>
  </si>
  <si>
    <t>Usage / Convenience / Market use: 3</t>
  </si>
  <si>
    <t>Transparency / Clear info / Fund mgmt: 4</t>
  </si>
  <si>
    <t>Uncertain / Nil / Not sure: 3</t>
  </si>
  <si>
    <t>Most frequent theme: TER / Its value</t>
  </si>
  <si>
    <t>Least frequent theme: Security / Government support / Stability</t>
  </si>
  <si>
    <t>Theme Counts (n = 33 responses)</t>
  </si>
  <si>
    <t>TER / Its value: 4</t>
  </si>
  <si>
    <t>TER / Value often appears with Gold-backed or Return</t>
  </si>
  <si>
    <t>Usage and Convenience sometimes appear with Digital or Investment</t>
  </si>
  <si>
    <t>Uncertain / Not sure responses appear alone</t>
  </si>
  <si>
    <t>Long descriptive responses often include multiple themes, e.g., income level + risk + transparency + government policies</t>
  </si>
  <si>
    <t>Most responses: 1–3 words (“Nil”, “Gold”, “Return”)</t>
  </si>
  <si>
    <t>Several responses: short sentences</t>
  </si>
  <si>
    <t>Many responses: multi-line, detailed explanations (e.g., “My decision to invest (TER) in the future would mainly be influenced by my income level, expected returns, and the level of risk involved…”)</t>
  </si>
  <si>
    <t>Unique / long descriptive responses:</t>
  </si>
  <si>
    <t>“TER would have great impact for the people who are not able to earn physical gold and TER will be future currency”</t>
  </si>
  <si>
    <t>Uncertain responses: “Not sure”, “Nil”, “No”</t>
  </si>
  <si>
    <t>Age_code</t>
  </si>
  <si>
    <t>Gender_code</t>
  </si>
  <si>
    <t>nationality_code</t>
  </si>
  <si>
    <t>Education_code</t>
  </si>
  <si>
    <t>Consider_investing in gold_code</t>
  </si>
  <si>
    <t>currently invest in financiall asset_code</t>
  </si>
  <si>
    <t>awareness_code</t>
  </si>
  <si>
    <t>vaue_code</t>
  </si>
  <si>
    <t>interest in digital assets_code</t>
  </si>
  <si>
    <t>If a digital asset is backed by gold, would you feel more confident in using it _code</t>
  </si>
  <si>
    <t>what would make u consider using gold-backed-code</t>
  </si>
  <si>
    <t>in which area u would use-code</t>
  </si>
  <si>
    <t xml:space="preserve">Payments, Savings / Store of Value, Investment </t>
  </si>
  <si>
    <t>Familiarity_code</t>
  </si>
  <si>
    <t>consider holding TER in the future_Code</t>
  </si>
  <si>
    <t>Once Gelephu Mindfulness City becomes operational, would you consider using TER_code</t>
  </si>
  <si>
    <t>whih asset u would trust fro long term_code</t>
  </si>
  <si>
    <t>appealing_code</t>
  </si>
  <si>
    <t>factors that will increase trust_code</t>
  </si>
  <si>
    <t>main reason for no interest_code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</si>
</sst>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7" x14ac:knownFonts="1">
    <font>
      <sz val="10"/>
      <color rgb="FF000000"/>
      <name val="Arial"/>
      <scheme val="minor"/>
    </font>
    <font>
      <sz val="10"/>
      <color theme="1"/>
      <name val="Arial"/>
      <family val="2"/>
      <scheme val="minor"/>
    </font>
    <font>
      <b/>
      <sz val="10"/>
      <color theme="1"/>
      <name val="Arial"/>
      <family val="2"/>
      <scheme val="minor"/>
    </font>
    <font>
      <b/>
      <sz val="10"/>
      <color theme="1"/>
      <name val="Arial"/>
      <family val="2"/>
    </font>
    <font>
      <sz val="10"/>
      <color theme="1"/>
      <name val="Arial"/>
      <family val="2"/>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3">
    <border>
      <left/>
      <right/>
      <top/>
      <bottom/>
      <diagonal/>
    </border>
    <border>
      <left/>
      <right/>
      <top/>
      <bottom style="thin">
        <color rgb="FF5B3F86"/>
      </bottom>
      <diagonal/>
    </border>
    <border>
      <left/>
      <right style="thin">
        <color rgb="FF5B3F86"/>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5" fillId="0" borderId="0" xfId="0" applyFont="1" applyAlignment="1"/>
    <xf numFmtId="0" fontId="1" fillId="2" borderId="1" xfId="0" applyFont="1" applyFill="1" applyBorder="1" applyAlignment="1">
      <alignment vertical="center"/>
    </xf>
    <xf numFmtId="0" fontId="6" fillId="0" borderId="0" xfId="0" applyFont="1" applyAlignment="1"/>
    <xf numFmtId="0" fontId="0"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1" fillId="2" borderId="2" xfId="0" applyFont="1" applyFill="1" applyBorder="1" applyAlignment="1">
      <alignment vertical="center"/>
    </xf>
    <xf numFmtId="0" fontId="1" fillId="3" borderId="2" xfId="0" applyFont="1" applyFill="1" applyBorder="1" applyAlignment="1">
      <alignment vertical="center"/>
    </xf>
    <xf numFmtId="0" fontId="4" fillId="0" borderId="0" xfId="0" applyFont="1" applyAlignment="1">
      <alignment horizontal="left" vertical="center"/>
    </xf>
  </cellXfs>
  <cellStyles count="1">
    <cellStyle name="Normal" xfId="0" builtinId="0"/>
  </cellStyles>
  <dxfs count="23">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22"/>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Form_Responses" displayName="Form_Responses" ref="A1:AX126">
  <tableColumns count="50">
    <tableColumn id="1" name="Timestamp"/>
    <tableColumn id="2" name="Q1: What is your age group?"/>
    <tableColumn id="33" name="Age_code" dataDxfId="18">
      <calculatedColumnFormula>IF(Form_Responses[[#This Row],[Q1: What is your age group?]]="Under 18",1, IF(Form_Responses[[#This Row],[Q1: What is your age group?]]="18–28",2, IF(Form_Responses[[#This Row],[Q1: What is your age group?]]="29–39",3, IF(Form_Responses[[#This Row],[Q1: What is your age group?]]="40–50",4, IF(Form_Responses[[#This Row],[Q1: What is your age group?]]="51+",5,"")))))</calculatedColumnFormula>
    </tableColumn>
    <tableColumn id="3" name="Q1: What is your gender?"/>
    <tableColumn id="34" name="Gender_code" dataDxfId="17">
      <calculatedColumnFormula>IF(Form_Responses[[#This Row],[Q1: What is your gender?]]="Male",1, IF(Form_Responses[[#This Row],[Q1: What is your gender?]]="Female",2,IF(Form_Responses[[#This Row],[Q1: What is your gender?]]="Prefer not to say", 3,"")))</calculatedColumnFormula>
    </tableColumn>
    <tableColumn id="4" name="Q2:  What is your nationality?  "/>
    <tableColumn id="35" name="nationality_code" dataDxfId="16">
      <calculatedColumnFormula>IF(Form_Responses[[#This Row],[Q2:  What is your nationality?  ]]="Bhutanese (living in Bhutan)",1, IF(Form_Responses[[#This Row],[Q2:  What is your nationality?  ]]="Bhutanese (living outside Bhutan)",2, IF(Form_Responses[[#This Row],[Q2:  What is your nationality?  ]]="International resident",3, "")))</calculatedColumnFormula>
    </tableColumn>
    <tableColumn id="5" name="Q3: What is your highest level of education?  "/>
    <tableColumn id="36" name="Education_code" dataDxfId="15">
      <calculatedColumnFormula>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calculatedColumnFormula>
    </tableColumn>
    <tableColumn id="6" name="Q1.  Would you ever consider investing in gold?"/>
    <tableColumn id="37" name="Consider_investing in gold_code" dataDxfId="14">
      <calculatedColumnFormula>IF(Form_Responses[[#This Row],[Q1.  Would you ever consider investing in gold?]]="Yes",1, IF(Form_Responses[[#This Row],[Q1.  Would you ever consider investing in gold?]]="No",2, IF(Form_Responses[[#This Row],[Q1.  Would you ever consider investing in gold?]]="Maybe",3, "")))</calculatedColumnFormula>
    </tableColumn>
    <tableColumn id="7" name="Q2. Do you currently invest in any financial assets (for example: gold, stocks, bank deposits, cryptocurrency)?   "/>
    <tableColumn id="38" name="currently invest in financiall asset_code" dataDxfId="13">
      <calculatedColumnFormula>IF(Form_Responses[[#This Row],[Q2. Do you currently invest in any financial assets (for example: gold, stocks, bank deposits, cryptocurrency)?   ]]="No",2, IF(Form_Responses[[#This Row],[Q2. Do you currently invest in any financial assets (for example: gold, stocks, bank deposits, cryptocurrency)?   ]]="Yes",1, ""))</calculatedColumnFormula>
    </tableColumn>
    <tableColumn id="8" name="Q1. Which types of assets do you currently invest in?   "/>
    <tableColumn id="9" name="Q2.For the financial assets you currently invest in, how comfortable are you with them?  "/>
    <tableColumn id="10" name=" Q1. What factors would make you want to start investing in financial assets?  "/>
    <tableColumn id="11" name="Q1. How aware are you of TER?"/>
    <tableColumn id="39" name="awareness_code" dataDxfId="12">
      <calculatedColumnFormula>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calculatedColumnFormula>
    </tableColumn>
    <tableColumn id="12" name="Q1.  Do you think TER could have value as a digital asset? "/>
    <tableColumn id="40" name="vaue_code" dataDxfId="11">
      <calculatedColumnFormula>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calculatedColumnFormula>
    </tableColumn>
    <tableColumn id="13" name="Q2:   Are you interested in digital assets such as cryptocurrencies?  "/>
    <tableColumn id="41" name="interest in digital assets_code" dataDxfId="10">
      <calculatedColumnFormula>IF(Form_Responses[[#This Row],[Q2:   Are you interested in digital assets such as cryptocurrencies?  ]]="Yes",1, IF(Form_Responses[[#This Row],[Q2:   Are you interested in digital assets such as cryptocurrencies?  ]]="No",2,""))</calculatedColumnFormula>
    </tableColumn>
    <tableColumn id="14" name="Q1.  What is the main reason you are not interested in digital assets? "/>
    <tableColumn id="32" name="main reason for no interest_code" dataDxfId="9">
      <calculatedColumnFormula>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calculatedColumnFormula>
    </tableColumn>
    <tableColumn id="15" name="Q2.   Is there anything that could change your interest in digital assets in the future? "/>
    <tableColumn id="16" name="Q1.  What motivates your interest in digital assets? "/>
    <tableColumn id="17" name="Q2: If a digital asset is backed by gold, would you feel more confident in using it?  "/>
    <tableColumn id="42" name="If a digital asset is backed by gold, would you feel more confident in using it _code" dataDxfId="8">
      <calculatedColumnFormula>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calculatedColumnFormula>
    </tableColumn>
    <tableColumn id="18" name="Q3: Once Gelephu Mindfulness City becomes operational, would you consider using a gold-backed digital asset (Ter) for:  "/>
    <tableColumn id="44" name="in which area u would use-code" dataDxfId="7">
      <calculatedColumnFormula>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calculatedColumnFormula>
    </tableColumn>
    <tableColumn id="19" name="Q4: What would make you consider using a gold-backed digital asset in the future?"/>
    <tableColumn id="43" name="what would make u consider using gold-backed-code" dataDxfId="6"/>
    <tableColumn id="20" name="Q1.  How familiar are you with TER as a digital asset?"/>
    <tableColumn id="45" name="Familiarity_code" dataDxfId="5">
      <calculatedColumnFormula>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calculatedColumnFormula>
    </tableColumn>
    <tableColumn id="21" name="Q1: How interested are you in learning more about TER?  "/>
    <tableColumn id="22" name="Q2: Would you consider holding TER in the future?  "/>
    <tableColumn id="46" name="consider holding TER in the future_Code" dataDxfId="4">
      <calculatedColumnFormula>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calculatedColumnFormula>
    </tableColumn>
    <tableColumn id="23" name="Q3.What factors would make TER more appealing to you in the future?  "/>
    <tableColumn id="24" name="Q1. How much do you trust TER?"/>
    <tableColumn id="25" name="Q2. What factors would increase your trust in TER?"/>
    <tableColumn id="51" name="factors that will increase trust_code" dataDxfId="3">
      <calculatedColumnFormula>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calculatedColumnFormula>
    </tableColumn>
    <tableColumn id="26" name=" Q1.Which aspects of TER do you find appealing?  "/>
    <tableColumn id="50" name="appealing_code" dataDxfId="2">
      <calculatedColumnFormula>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calculatedColumnFormula>
    </tableColumn>
    <tableColumn id="27" name="Q2: Gold-backed digital money (like TER) is more stable than regular cryptocurrencies.  "/>
    <tableColumn id="28" name="Q3: Which digital asset type would you trust more for long-term value?"/>
    <tableColumn id="49" name="whih asset u would trust fro long term_code" dataDxfId="1">
      <calculatedColumnFormula>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calculatedColumnFormula>
    </tableColumn>
    <tableColumn id="29" name="Q4: Once Gelephu Mindfulness City becomes operational, would you consider using TER for:  "/>
    <tableColumn id="48" name="Once Gelephu Mindfulness City becomes operational, would you consider using TER_code" dataDxfId="0">
      <calculatedColumnFormula>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calculatedColumnFormula>
    </tableColumn>
    <tableColumn id="30" name="Q5: Would clear government backing and regulation increase your confidence in using TER?"/>
    <tableColumn id="31" name="Q6:  What would influence your decision about TER in the future?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X126"/>
  <sheetViews>
    <sheetView tabSelected="1" topLeftCell="AH1" workbookViewId="0">
      <pane ySplit="1" topLeftCell="A86" activePane="bottomLeft" state="frozen"/>
      <selection pane="bottomLeft" activeCell="AM94" sqref="AM94"/>
    </sheetView>
  </sheetViews>
  <sheetFormatPr defaultColWidth="12.5703125" defaultRowHeight="15.75" customHeight="1" x14ac:dyDescent="0.2"/>
  <cols>
    <col min="1" max="1" width="18.85546875" customWidth="1"/>
    <col min="2" max="2" width="24.42578125" customWidth="1"/>
    <col min="3" max="3" width="28.42578125" customWidth="1"/>
    <col min="4" max="9" width="37.5703125" customWidth="1"/>
    <col min="10" max="10" width="29.140625" customWidth="1"/>
    <col min="11" max="12" width="37.5703125" customWidth="1"/>
    <col min="13" max="13" width="45.5703125" customWidth="1"/>
    <col min="14" max="22" width="37.5703125" customWidth="1"/>
    <col min="23" max="23" width="38.140625" customWidth="1"/>
    <col min="24" max="30" width="37.5703125" customWidth="1"/>
    <col min="31" max="36" width="18.85546875" customWidth="1"/>
    <col min="37" max="37" width="32.85546875" customWidth="1"/>
    <col min="38" max="38" width="38.42578125" customWidth="1"/>
    <col min="39" max="39" width="53.42578125" customWidth="1"/>
    <col min="40" max="40" width="63.5703125" customWidth="1"/>
    <col min="41" max="41" width="20.140625" customWidth="1"/>
    <col min="42" max="42" width="54" customWidth="1"/>
    <col min="43" max="43" width="29.42578125" customWidth="1"/>
    <col min="44" max="44" width="32.7109375" customWidth="1"/>
  </cols>
  <sheetData>
    <row r="1" spans="1:50" ht="22.5" customHeight="1" x14ac:dyDescent="0.2">
      <c r="A1" s="1" t="s">
        <v>0</v>
      </c>
      <c r="B1" s="2" t="s">
        <v>1</v>
      </c>
      <c r="C1" s="2" t="s">
        <v>631</v>
      </c>
      <c r="D1" s="2" t="s">
        <v>2</v>
      </c>
      <c r="E1" s="2" t="s">
        <v>632</v>
      </c>
      <c r="F1" s="2" t="s">
        <v>3</v>
      </c>
      <c r="G1" s="2" t="s">
        <v>633</v>
      </c>
      <c r="H1" s="2" t="s">
        <v>4</v>
      </c>
      <c r="I1" s="2" t="s">
        <v>634</v>
      </c>
      <c r="J1" s="2" t="s">
        <v>5</v>
      </c>
      <c r="K1" s="2" t="s">
        <v>635</v>
      </c>
      <c r="L1" s="1" t="s">
        <v>6</v>
      </c>
      <c r="M1" s="1" t="s">
        <v>636</v>
      </c>
      <c r="N1" s="1" t="s">
        <v>7</v>
      </c>
      <c r="O1" s="2" t="s">
        <v>8</v>
      </c>
      <c r="P1" s="2" t="s">
        <v>9</v>
      </c>
      <c r="Q1" s="2" t="s">
        <v>10</v>
      </c>
      <c r="R1" s="2" t="s">
        <v>637</v>
      </c>
      <c r="S1" s="2" t="s">
        <v>11</v>
      </c>
      <c r="T1" s="2" t="s">
        <v>638</v>
      </c>
      <c r="U1" s="1" t="s">
        <v>12</v>
      </c>
      <c r="V1" s="1" t="s">
        <v>639</v>
      </c>
      <c r="W1" s="2" t="s">
        <v>13</v>
      </c>
      <c r="X1" s="2" t="s">
        <v>650</v>
      </c>
      <c r="Y1" s="2" t="s">
        <v>14</v>
      </c>
      <c r="Z1" s="2" t="s">
        <v>15</v>
      </c>
      <c r="AA1" s="1" t="s">
        <v>16</v>
      </c>
      <c r="AB1" s="1" t="s">
        <v>640</v>
      </c>
      <c r="AC1" s="1" t="s">
        <v>17</v>
      </c>
      <c r="AD1" s="1" t="s">
        <v>642</v>
      </c>
      <c r="AE1" s="2" t="s">
        <v>18</v>
      </c>
      <c r="AF1" s="2" t="s">
        <v>641</v>
      </c>
      <c r="AG1" s="2" t="s">
        <v>19</v>
      </c>
      <c r="AH1" s="2" t="s">
        <v>644</v>
      </c>
      <c r="AI1" s="1" t="s">
        <v>20</v>
      </c>
      <c r="AJ1" s="2" t="s">
        <v>21</v>
      </c>
      <c r="AK1" s="2" t="s">
        <v>645</v>
      </c>
      <c r="AL1" s="2" t="s">
        <v>22</v>
      </c>
      <c r="AM1" s="2" t="s">
        <v>23</v>
      </c>
      <c r="AN1" s="2" t="s">
        <v>24</v>
      </c>
      <c r="AO1" s="2" t="s">
        <v>649</v>
      </c>
      <c r="AP1" s="2" t="s">
        <v>25</v>
      </c>
      <c r="AQ1" s="2" t="s">
        <v>648</v>
      </c>
      <c r="AR1" s="2" t="s">
        <v>26</v>
      </c>
      <c r="AS1" s="2" t="s">
        <v>27</v>
      </c>
      <c r="AT1" s="2" t="s">
        <v>647</v>
      </c>
      <c r="AU1" s="2" t="s">
        <v>28</v>
      </c>
      <c r="AV1" s="2" t="s">
        <v>646</v>
      </c>
      <c r="AW1" s="2" t="s">
        <v>29</v>
      </c>
      <c r="AX1" s="16" t="s">
        <v>30</v>
      </c>
    </row>
    <row r="2" spans="1:50" ht="22.5" customHeight="1" x14ac:dyDescent="0.2">
      <c r="A2" s="3">
        <v>46050.796761967591</v>
      </c>
      <c r="B2" s="4" t="s">
        <v>31</v>
      </c>
      <c r="C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 s="4" t="s">
        <v>32</v>
      </c>
      <c r="E2" s="5">
        <f>IF(Form_Responses[[#This Row],[Q1: What is your gender?]]="Male",1, IF(Form_Responses[[#This Row],[Q1: What is your gender?]]="Female",2,IF(Form_Responses[[#This Row],[Q1: What is your gender?]]="Prefer not to say", 3,"")))</f>
        <v>1</v>
      </c>
      <c r="F2" s="4" t="s">
        <v>33</v>
      </c>
      <c r="G2" s="5">
        <f>IF(Form_Responses[[#This Row],[Q2:  What is your nationality?  ]]="Bhutanese (living in Bhutan)",1, IF(Form_Responses[[#This Row],[Q2:  What is your nationality?  ]]="Bhutanese (living outside Bhutan)",2, IF(Form_Responses[[#This Row],[Q2:  What is your nationality?  ]]="International resident",3, "")))</f>
        <v>1</v>
      </c>
      <c r="H2" s="4" t="s">
        <v>34</v>
      </c>
      <c r="I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 s="4" t="s">
        <v>35</v>
      </c>
      <c r="K2" s="5">
        <f>IF(Form_Responses[[#This Row],[Q1.  Would you ever consider investing in gold?]]="Yes",1, IF(Form_Responses[[#This Row],[Q1.  Would you ever consider investing in gold?]]="No",2, IF(Form_Responses[[#This Row],[Q1.  Would you ever consider investing in gold?]]="Maybe",3, "")))</f>
        <v>1</v>
      </c>
      <c r="L2" s="4" t="s">
        <v>36</v>
      </c>
      <c r="M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 s="5"/>
      <c r="O2" s="5"/>
      <c r="P2" s="4" t="s">
        <v>37</v>
      </c>
      <c r="Q2" s="4" t="s">
        <v>38</v>
      </c>
      <c r="R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2" s="5"/>
      <c r="T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 s="5"/>
      <c r="V2" s="5" t="str">
        <f>IF(Form_Responses[[#This Row],[Q2:   Are you interested in digital assets such as cryptocurrencies?  ]]="Yes",1, IF(Form_Responses[[#This Row],[Q2:   Are you interested in digital assets such as cryptocurrencies?  ]]="No",2,""))</f>
        <v/>
      </c>
      <c r="W2" s="5"/>
      <c r="X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 s="5"/>
      <c r="Z2" s="5"/>
      <c r="AA2" s="5"/>
      <c r="AB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 s="5"/>
      <c r="AD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 s="5"/>
      <c r="AF2" s="5"/>
      <c r="AG2" s="4" t="s">
        <v>39</v>
      </c>
      <c r="AH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2" s="4">
        <v>5</v>
      </c>
      <c r="AJ2" s="4" t="s">
        <v>40</v>
      </c>
      <c r="AK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2" s="4" t="s">
        <v>41</v>
      </c>
      <c r="AM2" s="5"/>
      <c r="AN2" s="5"/>
      <c r="AO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2" s="5"/>
      <c r="AQ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2" s="5"/>
      <c r="AS2" s="5"/>
      <c r="AT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2" s="5"/>
      <c r="AV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2" s="5"/>
      <c r="AX2" s="5"/>
    </row>
    <row r="3" spans="1:50" ht="22.5" customHeight="1" x14ac:dyDescent="0.2">
      <c r="A3" s="3">
        <v>46050.798985856483</v>
      </c>
      <c r="B3" s="4" t="s">
        <v>31</v>
      </c>
      <c r="C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 s="4" t="s">
        <v>32</v>
      </c>
      <c r="E3" s="5">
        <f>IF(Form_Responses[[#This Row],[Q1: What is your gender?]]="Male",1, IF(Form_Responses[[#This Row],[Q1: What is your gender?]]="Female",2,IF(Form_Responses[[#This Row],[Q1: What is your gender?]]="Prefer not to say", 3,"")))</f>
        <v>1</v>
      </c>
      <c r="F3" s="4" t="s">
        <v>33</v>
      </c>
      <c r="G3" s="5">
        <f>IF(Form_Responses[[#This Row],[Q2:  What is your nationality?  ]]="Bhutanese (living in Bhutan)",1, IF(Form_Responses[[#This Row],[Q2:  What is your nationality?  ]]="Bhutanese (living outside Bhutan)",2, IF(Form_Responses[[#This Row],[Q2:  What is your nationality?  ]]="International resident",3, "")))</f>
        <v>1</v>
      </c>
      <c r="H3" s="4" t="s">
        <v>34</v>
      </c>
      <c r="I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3" s="4" t="s">
        <v>35</v>
      </c>
      <c r="K3" s="5">
        <f>IF(Form_Responses[[#This Row],[Q1.  Would you ever consider investing in gold?]]="Yes",1, IF(Form_Responses[[#This Row],[Q1.  Would you ever consider investing in gold?]]="No",2, IF(Form_Responses[[#This Row],[Q1.  Would you ever consider investing in gold?]]="Maybe",3, "")))</f>
        <v>1</v>
      </c>
      <c r="L3" s="4" t="s">
        <v>36</v>
      </c>
      <c r="M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 s="5"/>
      <c r="O3" s="5"/>
      <c r="P3" s="4" t="s">
        <v>42</v>
      </c>
      <c r="Q3" s="4" t="s">
        <v>38</v>
      </c>
      <c r="R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 s="5"/>
      <c r="T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 s="5"/>
      <c r="V3" s="5" t="str">
        <f>IF(Form_Responses[[#This Row],[Q2:   Are you interested in digital assets such as cryptocurrencies?  ]]="Yes",1, IF(Form_Responses[[#This Row],[Q2:   Are you interested in digital assets such as cryptocurrencies?  ]]="No",2,""))</f>
        <v/>
      </c>
      <c r="W3" s="5"/>
      <c r="X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 s="5"/>
      <c r="Z3" s="5"/>
      <c r="AA3" s="5"/>
      <c r="AB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 s="5"/>
      <c r="AD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 s="5"/>
      <c r="AF3" s="5"/>
      <c r="AG3" s="4" t="s">
        <v>43</v>
      </c>
      <c r="AH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3" s="5"/>
      <c r="AJ3" s="5"/>
      <c r="AK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3" s="5"/>
      <c r="AM3" s="4">
        <v>2</v>
      </c>
      <c r="AN3" s="4" t="s">
        <v>44</v>
      </c>
      <c r="AO3"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6</v>
      </c>
      <c r="AP3" s="4" t="s">
        <v>45</v>
      </c>
      <c r="AQ3"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6</v>
      </c>
      <c r="AR3" s="4">
        <v>3</v>
      </c>
      <c r="AS3" s="4" t="s">
        <v>46</v>
      </c>
      <c r="AT3"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3</v>
      </c>
      <c r="AU3" s="4" t="s">
        <v>47</v>
      </c>
      <c r="AV3"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3" s="4">
        <v>3</v>
      </c>
      <c r="AX3" s="4" t="s">
        <v>48</v>
      </c>
    </row>
    <row r="4" spans="1:50" ht="22.5" customHeight="1" x14ac:dyDescent="0.2">
      <c r="A4" s="3">
        <v>46050.806631122687</v>
      </c>
      <c r="B4" s="4" t="s">
        <v>31</v>
      </c>
      <c r="C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 s="4" t="s">
        <v>32</v>
      </c>
      <c r="E4" s="5">
        <f>IF(Form_Responses[[#This Row],[Q1: What is your gender?]]="Male",1, IF(Form_Responses[[#This Row],[Q1: What is your gender?]]="Female",2,IF(Form_Responses[[#This Row],[Q1: What is your gender?]]="Prefer not to say", 3,"")))</f>
        <v>1</v>
      </c>
      <c r="F4" s="4" t="s">
        <v>33</v>
      </c>
      <c r="G4" s="5">
        <f>IF(Form_Responses[[#This Row],[Q2:  What is your nationality?  ]]="Bhutanese (living in Bhutan)",1, IF(Form_Responses[[#This Row],[Q2:  What is your nationality?  ]]="Bhutanese (living outside Bhutan)",2, IF(Form_Responses[[#This Row],[Q2:  What is your nationality?  ]]="International resident",3, "")))</f>
        <v>1</v>
      </c>
      <c r="H4" s="4" t="s">
        <v>49</v>
      </c>
      <c r="I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4" s="4" t="s">
        <v>35</v>
      </c>
      <c r="K4" s="5">
        <f>IF(Form_Responses[[#This Row],[Q1.  Would you ever consider investing in gold?]]="Yes",1, IF(Form_Responses[[#This Row],[Q1.  Would you ever consider investing in gold?]]="No",2, IF(Form_Responses[[#This Row],[Q1.  Would you ever consider investing in gold?]]="Maybe",3, "")))</f>
        <v>1</v>
      </c>
      <c r="L4" s="4" t="s">
        <v>35</v>
      </c>
      <c r="M4"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4" s="4" t="s">
        <v>50</v>
      </c>
      <c r="O4" s="4">
        <v>3</v>
      </c>
      <c r="P4" s="5"/>
      <c r="Q4" s="4" t="s">
        <v>38</v>
      </c>
      <c r="R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4" s="5"/>
      <c r="T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 s="5"/>
      <c r="V4" s="5" t="str">
        <f>IF(Form_Responses[[#This Row],[Q2:   Are you interested in digital assets such as cryptocurrencies?  ]]="Yes",1, IF(Form_Responses[[#This Row],[Q2:   Are you interested in digital assets such as cryptocurrencies?  ]]="No",2,""))</f>
        <v/>
      </c>
      <c r="W4" s="5"/>
      <c r="X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 s="5"/>
      <c r="Z4" s="5"/>
      <c r="AA4" s="5"/>
      <c r="AB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 s="5"/>
      <c r="AD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 s="5"/>
      <c r="AF4" s="5"/>
      <c r="AG4" s="4" t="s">
        <v>39</v>
      </c>
      <c r="AH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4" s="4">
        <v>3</v>
      </c>
      <c r="AJ4" s="4" t="s">
        <v>40</v>
      </c>
      <c r="AK4"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4" s="4" t="s">
        <v>51</v>
      </c>
      <c r="AM4" s="5"/>
      <c r="AN4" s="5"/>
      <c r="AO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4" s="5"/>
      <c r="AQ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4" s="5"/>
      <c r="AS4" s="5"/>
      <c r="AT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4" s="5"/>
      <c r="AV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4" s="5"/>
      <c r="AX4" s="5"/>
    </row>
    <row r="5" spans="1:50" ht="22.5" customHeight="1" x14ac:dyDescent="0.2">
      <c r="A5" s="3">
        <v>46050.810853576389</v>
      </c>
      <c r="B5" s="4" t="s">
        <v>31</v>
      </c>
      <c r="C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 s="4" t="s">
        <v>32</v>
      </c>
      <c r="E5" s="5">
        <f>IF(Form_Responses[[#This Row],[Q1: What is your gender?]]="Male",1, IF(Form_Responses[[#This Row],[Q1: What is your gender?]]="Female",2,IF(Form_Responses[[#This Row],[Q1: What is your gender?]]="Prefer not to say", 3,"")))</f>
        <v>1</v>
      </c>
      <c r="F5" s="4" t="s">
        <v>33</v>
      </c>
      <c r="G5" s="5">
        <f>IF(Form_Responses[[#This Row],[Q2:  What is your nationality?  ]]="Bhutanese (living in Bhutan)",1, IF(Form_Responses[[#This Row],[Q2:  What is your nationality?  ]]="Bhutanese (living outside Bhutan)",2, IF(Form_Responses[[#This Row],[Q2:  What is your nationality?  ]]="International resident",3, "")))</f>
        <v>1</v>
      </c>
      <c r="H5" s="4" t="s">
        <v>52</v>
      </c>
      <c r="I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5" s="4" t="s">
        <v>35</v>
      </c>
      <c r="K5" s="5">
        <f>IF(Form_Responses[[#This Row],[Q1.  Would you ever consider investing in gold?]]="Yes",1, IF(Form_Responses[[#This Row],[Q1.  Would you ever consider investing in gold?]]="No",2, IF(Form_Responses[[#This Row],[Q1.  Would you ever consider investing in gold?]]="Maybe",3, "")))</f>
        <v>1</v>
      </c>
      <c r="L5" s="4" t="s">
        <v>35</v>
      </c>
      <c r="M5"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5" s="4" t="s">
        <v>53</v>
      </c>
      <c r="O5" s="4">
        <v>5</v>
      </c>
      <c r="P5" s="5"/>
      <c r="Q5" s="4" t="s">
        <v>38</v>
      </c>
      <c r="R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5" s="5"/>
      <c r="T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 s="5"/>
      <c r="V5" s="5" t="str">
        <f>IF(Form_Responses[[#This Row],[Q2:   Are you interested in digital assets such as cryptocurrencies?  ]]="Yes",1, IF(Form_Responses[[#This Row],[Q2:   Are you interested in digital assets such as cryptocurrencies?  ]]="No",2,""))</f>
        <v/>
      </c>
      <c r="W5" s="5"/>
      <c r="X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 s="5"/>
      <c r="Z5" s="5"/>
      <c r="AA5" s="5"/>
      <c r="AB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 s="5"/>
      <c r="AD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 s="5"/>
      <c r="AF5" s="5"/>
      <c r="AG5" s="4" t="s">
        <v>39</v>
      </c>
      <c r="AH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5" s="4">
        <v>5</v>
      </c>
      <c r="AJ5" s="4" t="s">
        <v>54</v>
      </c>
      <c r="AK5"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5" s="4" t="s">
        <v>55</v>
      </c>
      <c r="AM5" s="5"/>
      <c r="AN5" s="5"/>
      <c r="AO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 s="5"/>
      <c r="AQ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 s="5"/>
      <c r="AS5" s="5"/>
      <c r="AT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 s="5"/>
      <c r="AV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 s="5"/>
      <c r="AX5" s="5"/>
    </row>
    <row r="6" spans="1:50" ht="22.5" customHeight="1" x14ac:dyDescent="0.2">
      <c r="A6" s="3">
        <v>46050.812654398149</v>
      </c>
      <c r="B6" s="4" t="s">
        <v>31</v>
      </c>
      <c r="C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 s="4" t="s">
        <v>32</v>
      </c>
      <c r="E6" s="5">
        <f>IF(Form_Responses[[#This Row],[Q1: What is your gender?]]="Male",1, IF(Form_Responses[[#This Row],[Q1: What is your gender?]]="Female",2,IF(Form_Responses[[#This Row],[Q1: What is your gender?]]="Prefer not to say", 3,"")))</f>
        <v>1</v>
      </c>
      <c r="F6" s="4" t="s">
        <v>33</v>
      </c>
      <c r="G6" s="5">
        <f>IF(Form_Responses[[#This Row],[Q2:  What is your nationality?  ]]="Bhutanese (living in Bhutan)",1, IF(Form_Responses[[#This Row],[Q2:  What is your nationality?  ]]="Bhutanese (living outside Bhutan)",2, IF(Form_Responses[[#This Row],[Q2:  What is your nationality?  ]]="International resident",3, "")))</f>
        <v>1</v>
      </c>
      <c r="H6" s="4" t="s">
        <v>56</v>
      </c>
      <c r="I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6" s="4" t="s">
        <v>35</v>
      </c>
      <c r="K6" s="5">
        <f>IF(Form_Responses[[#This Row],[Q1.  Would you ever consider investing in gold?]]="Yes",1, IF(Form_Responses[[#This Row],[Q1.  Would you ever consider investing in gold?]]="No",2, IF(Form_Responses[[#This Row],[Q1.  Would you ever consider investing in gold?]]="Maybe",3, "")))</f>
        <v>1</v>
      </c>
      <c r="L6" s="4" t="s">
        <v>36</v>
      </c>
      <c r="M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 s="5"/>
      <c r="O6" s="5"/>
      <c r="P6" s="4" t="s">
        <v>57</v>
      </c>
      <c r="Q6" s="4" t="s">
        <v>38</v>
      </c>
      <c r="R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6" s="5"/>
      <c r="T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 s="5"/>
      <c r="V6" s="5" t="str">
        <f>IF(Form_Responses[[#This Row],[Q2:   Are you interested in digital assets such as cryptocurrencies?  ]]="Yes",1, IF(Form_Responses[[#This Row],[Q2:   Are you interested in digital assets such as cryptocurrencies?  ]]="No",2,""))</f>
        <v/>
      </c>
      <c r="W6" s="5"/>
      <c r="X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 s="5"/>
      <c r="Z6" s="5"/>
      <c r="AA6" s="5"/>
      <c r="AB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 s="5"/>
      <c r="AD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 s="5"/>
      <c r="AF6" s="5"/>
      <c r="AG6" s="4" t="s">
        <v>39</v>
      </c>
      <c r="AH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6" s="4">
        <v>4</v>
      </c>
      <c r="AJ6" s="4" t="s">
        <v>58</v>
      </c>
      <c r="AK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6" s="4" t="s">
        <v>59</v>
      </c>
      <c r="AM6" s="5"/>
      <c r="AN6" s="5"/>
      <c r="AO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 s="5"/>
      <c r="AQ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 s="5"/>
      <c r="AS6" s="5"/>
      <c r="AT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 s="5"/>
      <c r="AV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 s="5"/>
      <c r="AX6" s="5"/>
    </row>
    <row r="7" spans="1:50" ht="22.5" customHeight="1" x14ac:dyDescent="0.2">
      <c r="A7" s="3">
        <v>46050.814192534723</v>
      </c>
      <c r="B7" s="4" t="s">
        <v>31</v>
      </c>
      <c r="C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 s="4" t="s">
        <v>32</v>
      </c>
      <c r="E7" s="5">
        <f>IF(Form_Responses[[#This Row],[Q1: What is your gender?]]="Male",1, IF(Form_Responses[[#This Row],[Q1: What is your gender?]]="Female",2,IF(Form_Responses[[#This Row],[Q1: What is your gender?]]="Prefer not to say", 3,"")))</f>
        <v>1</v>
      </c>
      <c r="F7" s="4" t="s">
        <v>33</v>
      </c>
      <c r="G7" s="5">
        <f>IF(Form_Responses[[#This Row],[Q2:  What is your nationality?  ]]="Bhutanese (living in Bhutan)",1, IF(Form_Responses[[#This Row],[Q2:  What is your nationality?  ]]="Bhutanese (living outside Bhutan)",2, IF(Form_Responses[[#This Row],[Q2:  What is your nationality?  ]]="International resident",3, "")))</f>
        <v>1</v>
      </c>
      <c r="H7" s="4" t="s">
        <v>34</v>
      </c>
      <c r="I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7" s="4" t="s">
        <v>60</v>
      </c>
      <c r="K7" s="5">
        <f>IF(Form_Responses[[#This Row],[Q1.  Would you ever consider investing in gold?]]="Yes",1, IF(Form_Responses[[#This Row],[Q1.  Would you ever consider investing in gold?]]="No",2, IF(Form_Responses[[#This Row],[Q1.  Would you ever consider investing in gold?]]="Maybe",3, "")))</f>
        <v>3</v>
      </c>
      <c r="L7" s="4" t="s">
        <v>36</v>
      </c>
      <c r="M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 s="5"/>
      <c r="O7" s="5"/>
      <c r="P7" s="4" t="s">
        <v>61</v>
      </c>
      <c r="Q7" s="4" t="s">
        <v>38</v>
      </c>
      <c r="R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7" s="5"/>
      <c r="T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 s="5"/>
      <c r="V7" s="5" t="str">
        <f>IF(Form_Responses[[#This Row],[Q2:   Are you interested in digital assets such as cryptocurrencies?  ]]="Yes",1, IF(Form_Responses[[#This Row],[Q2:   Are you interested in digital assets such as cryptocurrencies?  ]]="No",2,""))</f>
        <v/>
      </c>
      <c r="W7" s="5"/>
      <c r="X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 s="5"/>
      <c r="Z7" s="5"/>
      <c r="AA7" s="5"/>
      <c r="AB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 s="5"/>
      <c r="AD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 s="5"/>
      <c r="AF7" s="5"/>
      <c r="AG7" s="4" t="s">
        <v>39</v>
      </c>
      <c r="AH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7" s="4">
        <v>2</v>
      </c>
      <c r="AJ7" s="4" t="s">
        <v>58</v>
      </c>
      <c r="AK7"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7" s="4" t="s">
        <v>62</v>
      </c>
      <c r="AM7" s="5"/>
      <c r="AN7" s="5"/>
      <c r="AO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 s="5"/>
      <c r="AQ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 s="5"/>
      <c r="AS7" s="5"/>
      <c r="AT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 s="5"/>
      <c r="AV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 s="5"/>
      <c r="AX7" s="5"/>
    </row>
    <row r="8" spans="1:50" ht="22.5" customHeight="1" x14ac:dyDescent="0.2">
      <c r="A8" s="3">
        <v>46050.814385520833</v>
      </c>
      <c r="B8" s="4" t="s">
        <v>31</v>
      </c>
      <c r="C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 s="4" t="s">
        <v>63</v>
      </c>
      <c r="E8" s="5">
        <f>IF(Form_Responses[[#This Row],[Q1: What is your gender?]]="Male",1, IF(Form_Responses[[#This Row],[Q1: What is your gender?]]="Female",2,IF(Form_Responses[[#This Row],[Q1: What is your gender?]]="Prefer not to say", 3,"")))</f>
        <v>2</v>
      </c>
      <c r="F8" s="4" t="s">
        <v>33</v>
      </c>
      <c r="G8" s="5">
        <f>IF(Form_Responses[[#This Row],[Q2:  What is your nationality?  ]]="Bhutanese (living in Bhutan)",1, IF(Form_Responses[[#This Row],[Q2:  What is your nationality?  ]]="Bhutanese (living outside Bhutan)",2, IF(Form_Responses[[#This Row],[Q2:  What is your nationality?  ]]="International resident",3, "")))</f>
        <v>1</v>
      </c>
      <c r="H8" s="4" t="s">
        <v>56</v>
      </c>
      <c r="I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8" s="4" t="s">
        <v>35</v>
      </c>
      <c r="K8" s="5">
        <f>IF(Form_Responses[[#This Row],[Q1.  Would you ever consider investing in gold?]]="Yes",1, IF(Form_Responses[[#This Row],[Q1.  Would you ever consider investing in gold?]]="No",2, IF(Form_Responses[[#This Row],[Q1.  Would you ever consider investing in gold?]]="Maybe",3, "")))</f>
        <v>1</v>
      </c>
      <c r="L8" s="4" t="s">
        <v>36</v>
      </c>
      <c r="M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 s="5"/>
      <c r="O8" s="5"/>
      <c r="P8" s="4" t="s">
        <v>64</v>
      </c>
      <c r="Q8" s="4" t="s">
        <v>38</v>
      </c>
      <c r="R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8" s="5"/>
      <c r="T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 s="5"/>
      <c r="V8" s="5" t="str">
        <f>IF(Form_Responses[[#This Row],[Q2:   Are you interested in digital assets such as cryptocurrencies?  ]]="Yes",1, IF(Form_Responses[[#This Row],[Q2:   Are you interested in digital assets such as cryptocurrencies?  ]]="No",2,""))</f>
        <v/>
      </c>
      <c r="W8" s="5"/>
      <c r="X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 s="5"/>
      <c r="Z8" s="5"/>
      <c r="AA8" s="5"/>
      <c r="AB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 s="5"/>
      <c r="AD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 s="5"/>
      <c r="AF8" s="5"/>
      <c r="AG8" s="4" t="s">
        <v>39</v>
      </c>
      <c r="AH8"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8" s="4">
        <v>5</v>
      </c>
      <c r="AJ8" s="4" t="s">
        <v>54</v>
      </c>
      <c r="AK8"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8" s="4" t="s">
        <v>65</v>
      </c>
      <c r="AM8" s="5"/>
      <c r="AN8" s="5"/>
      <c r="AO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 s="5"/>
      <c r="AQ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 s="5"/>
      <c r="AS8" s="5"/>
      <c r="AT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 s="5"/>
      <c r="AV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 s="5"/>
      <c r="AX8" s="5"/>
    </row>
    <row r="9" spans="1:50" ht="22.5" customHeight="1" x14ac:dyDescent="0.2">
      <c r="A9" s="3">
        <v>46050.81474829861</v>
      </c>
      <c r="B9" s="4" t="s">
        <v>31</v>
      </c>
      <c r="C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 s="4" t="s">
        <v>32</v>
      </c>
      <c r="E9" s="5">
        <f>IF(Form_Responses[[#This Row],[Q1: What is your gender?]]="Male",1, IF(Form_Responses[[#This Row],[Q1: What is your gender?]]="Female",2,IF(Form_Responses[[#This Row],[Q1: What is your gender?]]="Prefer not to say", 3,"")))</f>
        <v>1</v>
      </c>
      <c r="F9" s="4" t="s">
        <v>33</v>
      </c>
      <c r="G9" s="5">
        <f>IF(Form_Responses[[#This Row],[Q2:  What is your nationality?  ]]="Bhutanese (living in Bhutan)",1, IF(Form_Responses[[#This Row],[Q2:  What is your nationality?  ]]="Bhutanese (living outside Bhutan)",2, IF(Form_Responses[[#This Row],[Q2:  What is your nationality?  ]]="International resident",3, "")))</f>
        <v>1</v>
      </c>
      <c r="H9" s="4" t="s">
        <v>56</v>
      </c>
      <c r="I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9" s="4" t="s">
        <v>60</v>
      </c>
      <c r="K9" s="5">
        <f>IF(Form_Responses[[#This Row],[Q1.  Would you ever consider investing in gold?]]="Yes",1, IF(Form_Responses[[#This Row],[Q1.  Would you ever consider investing in gold?]]="No",2, IF(Form_Responses[[#This Row],[Q1.  Would you ever consider investing in gold?]]="Maybe",3, "")))</f>
        <v>3</v>
      </c>
      <c r="L9" s="4" t="s">
        <v>36</v>
      </c>
      <c r="M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9" s="5"/>
      <c r="O9" s="5"/>
      <c r="P9" s="4" t="s">
        <v>57</v>
      </c>
      <c r="Q9" s="4" t="s">
        <v>66</v>
      </c>
      <c r="R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1</v>
      </c>
      <c r="S9" s="4" t="s">
        <v>60</v>
      </c>
      <c r="T9"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9" s="4" t="s">
        <v>35</v>
      </c>
      <c r="V9" s="5">
        <f>IF(Form_Responses[[#This Row],[Q2:   Are you interested in digital assets such as cryptocurrencies?  ]]="Yes",1, IF(Form_Responses[[#This Row],[Q2:   Are you interested in digital assets such as cryptocurrencies?  ]]="No",2,""))</f>
        <v>1</v>
      </c>
      <c r="W9" s="5"/>
      <c r="X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 s="5"/>
      <c r="Z9" s="4" t="s">
        <v>67</v>
      </c>
      <c r="AA9" s="4" t="s">
        <v>35</v>
      </c>
      <c r="AB9"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9" s="4" t="s">
        <v>68</v>
      </c>
      <c r="AD9"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9" s="4" t="s">
        <v>69</v>
      </c>
      <c r="AF9" s="5"/>
      <c r="AG9" s="5"/>
      <c r="AH9"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 s="5"/>
      <c r="AJ9" s="5"/>
      <c r="AK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 s="5"/>
      <c r="AM9" s="5"/>
      <c r="AN9" s="5"/>
      <c r="AO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 s="5"/>
      <c r="AQ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 s="5"/>
      <c r="AS9" s="5"/>
      <c r="AT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 s="5"/>
      <c r="AV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 s="5"/>
      <c r="AX9" s="5"/>
    </row>
    <row r="10" spans="1:50" ht="22.5" customHeight="1" x14ac:dyDescent="0.2">
      <c r="A10" s="3">
        <v>46050.815032905091</v>
      </c>
      <c r="B10" s="4" t="s">
        <v>31</v>
      </c>
      <c r="C1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 s="4" t="s">
        <v>63</v>
      </c>
      <c r="E10" s="5">
        <f>IF(Form_Responses[[#This Row],[Q1: What is your gender?]]="Male",1, IF(Form_Responses[[#This Row],[Q1: What is your gender?]]="Female",2,IF(Form_Responses[[#This Row],[Q1: What is your gender?]]="Prefer not to say", 3,"")))</f>
        <v>2</v>
      </c>
      <c r="F10" s="4" t="s">
        <v>33</v>
      </c>
      <c r="G10" s="5">
        <f>IF(Form_Responses[[#This Row],[Q2:  What is your nationality?  ]]="Bhutanese (living in Bhutan)",1, IF(Form_Responses[[#This Row],[Q2:  What is your nationality?  ]]="Bhutanese (living outside Bhutan)",2, IF(Form_Responses[[#This Row],[Q2:  What is your nationality?  ]]="International resident",3, "")))</f>
        <v>1</v>
      </c>
      <c r="H10" s="4" t="s">
        <v>56</v>
      </c>
      <c r="I1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 s="4" t="s">
        <v>60</v>
      </c>
      <c r="K10" s="5">
        <f>IF(Form_Responses[[#This Row],[Q1.  Would you ever consider investing in gold?]]="Yes",1, IF(Form_Responses[[#This Row],[Q1.  Would you ever consider investing in gold?]]="No",2, IF(Form_Responses[[#This Row],[Q1.  Would you ever consider investing in gold?]]="Maybe",3, "")))</f>
        <v>3</v>
      </c>
      <c r="L10" s="4" t="s">
        <v>36</v>
      </c>
      <c r="M1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 s="5"/>
      <c r="O10" s="5"/>
      <c r="P10" s="4" t="s">
        <v>70</v>
      </c>
      <c r="Q10" s="4" t="s">
        <v>38</v>
      </c>
      <c r="R1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0" s="5"/>
      <c r="T10"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 s="5"/>
      <c r="V10" s="5" t="str">
        <f>IF(Form_Responses[[#This Row],[Q2:   Are you interested in digital assets such as cryptocurrencies?  ]]="Yes",1, IF(Form_Responses[[#This Row],[Q2:   Are you interested in digital assets such as cryptocurrencies?  ]]="No",2,""))</f>
        <v/>
      </c>
      <c r="W10" s="5"/>
      <c r="X1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 s="5"/>
      <c r="Z10" s="5"/>
      <c r="AA10" s="5"/>
      <c r="AB10"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 s="5"/>
      <c r="AD10"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 s="5"/>
      <c r="AF10" s="5"/>
      <c r="AG10" s="4" t="s">
        <v>39</v>
      </c>
      <c r="AH10"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0" s="4">
        <v>2</v>
      </c>
      <c r="AJ10" s="4" t="s">
        <v>40</v>
      </c>
      <c r="AK10"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10" s="4" t="s">
        <v>46</v>
      </c>
      <c r="AM10" s="5"/>
      <c r="AN10" s="5"/>
      <c r="AO1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 s="5"/>
      <c r="AQ1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 s="5"/>
      <c r="AS10" s="5"/>
      <c r="AT1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 s="5"/>
      <c r="AV1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 s="5"/>
      <c r="AX10" s="5"/>
    </row>
    <row r="11" spans="1:50" ht="22.5" customHeight="1" x14ac:dyDescent="0.2">
      <c r="A11" s="3">
        <v>46050.815762233797</v>
      </c>
      <c r="B11" s="4" t="s">
        <v>31</v>
      </c>
      <c r="C1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 s="4" t="s">
        <v>63</v>
      </c>
      <c r="E11" s="5">
        <f>IF(Form_Responses[[#This Row],[Q1: What is your gender?]]="Male",1, IF(Form_Responses[[#This Row],[Q1: What is your gender?]]="Female",2,IF(Form_Responses[[#This Row],[Q1: What is your gender?]]="Prefer not to say", 3,"")))</f>
        <v>2</v>
      </c>
      <c r="F11" s="4" t="s">
        <v>33</v>
      </c>
      <c r="G11" s="5">
        <f>IF(Form_Responses[[#This Row],[Q2:  What is your nationality?  ]]="Bhutanese (living in Bhutan)",1, IF(Form_Responses[[#This Row],[Q2:  What is your nationality?  ]]="Bhutanese (living outside Bhutan)",2, IF(Form_Responses[[#This Row],[Q2:  What is your nationality?  ]]="International resident",3, "")))</f>
        <v>1</v>
      </c>
      <c r="H11" s="4" t="s">
        <v>34</v>
      </c>
      <c r="I1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1" s="4" t="s">
        <v>35</v>
      </c>
      <c r="K11" s="5">
        <f>IF(Form_Responses[[#This Row],[Q1.  Would you ever consider investing in gold?]]="Yes",1, IF(Form_Responses[[#This Row],[Q1.  Would you ever consider investing in gold?]]="No",2, IF(Form_Responses[[#This Row],[Q1.  Would you ever consider investing in gold?]]="Maybe",3, "")))</f>
        <v>1</v>
      </c>
      <c r="L11" s="4" t="s">
        <v>35</v>
      </c>
      <c r="M11"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1" s="4" t="s">
        <v>71</v>
      </c>
      <c r="O11" s="4">
        <v>2</v>
      </c>
      <c r="P11" s="5"/>
      <c r="Q11" s="4" t="s">
        <v>38</v>
      </c>
      <c r="R1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1" s="5"/>
      <c r="T1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1" s="5"/>
      <c r="V11" s="5" t="str">
        <f>IF(Form_Responses[[#This Row],[Q2:   Are you interested in digital assets such as cryptocurrencies?  ]]="Yes",1, IF(Form_Responses[[#This Row],[Q2:   Are you interested in digital assets such as cryptocurrencies?  ]]="No",2,""))</f>
        <v/>
      </c>
      <c r="W11" s="5"/>
      <c r="X1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 s="5"/>
      <c r="Z11" s="5"/>
      <c r="AA11" s="5"/>
      <c r="AB1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1" s="5"/>
      <c r="AD1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1" s="5"/>
      <c r="AF11" s="5"/>
      <c r="AG11" s="4" t="s">
        <v>72</v>
      </c>
      <c r="AH1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1</v>
      </c>
      <c r="AI11" s="4">
        <v>5</v>
      </c>
      <c r="AJ11" s="4" t="s">
        <v>54</v>
      </c>
      <c r="AK11"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11" s="4" t="s">
        <v>73</v>
      </c>
      <c r="AM11" s="5"/>
      <c r="AN11" s="5"/>
      <c r="AO1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 s="5"/>
      <c r="AQ1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 s="5"/>
      <c r="AS11" s="5"/>
      <c r="AT1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 s="5"/>
      <c r="AV1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 s="5"/>
      <c r="AX11" s="5"/>
    </row>
    <row r="12" spans="1:50" ht="22.5" customHeight="1" x14ac:dyDescent="0.2">
      <c r="A12" s="3">
        <v>46050.816185613425</v>
      </c>
      <c r="B12" s="4" t="s">
        <v>31</v>
      </c>
      <c r="C1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2" s="4" t="s">
        <v>63</v>
      </c>
      <c r="E12" s="5">
        <f>IF(Form_Responses[[#This Row],[Q1: What is your gender?]]="Male",1, IF(Form_Responses[[#This Row],[Q1: What is your gender?]]="Female",2,IF(Form_Responses[[#This Row],[Q1: What is your gender?]]="Prefer not to say", 3,"")))</f>
        <v>2</v>
      </c>
      <c r="F12" s="4" t="s">
        <v>33</v>
      </c>
      <c r="G12" s="5">
        <f>IF(Form_Responses[[#This Row],[Q2:  What is your nationality?  ]]="Bhutanese (living in Bhutan)",1, IF(Form_Responses[[#This Row],[Q2:  What is your nationality?  ]]="Bhutanese (living outside Bhutan)",2, IF(Form_Responses[[#This Row],[Q2:  What is your nationality?  ]]="International resident",3, "")))</f>
        <v>1</v>
      </c>
      <c r="H12" s="4" t="s">
        <v>56</v>
      </c>
      <c r="I1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2" s="4" t="s">
        <v>60</v>
      </c>
      <c r="K12" s="5">
        <f>IF(Form_Responses[[#This Row],[Q1.  Would you ever consider investing in gold?]]="Yes",1, IF(Form_Responses[[#This Row],[Q1.  Would you ever consider investing in gold?]]="No",2, IF(Form_Responses[[#This Row],[Q1.  Would you ever consider investing in gold?]]="Maybe",3, "")))</f>
        <v>3</v>
      </c>
      <c r="L12" s="4" t="s">
        <v>35</v>
      </c>
      <c r="M12"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2" s="4" t="s">
        <v>74</v>
      </c>
      <c r="O12" s="4">
        <v>3</v>
      </c>
      <c r="P12" s="5"/>
      <c r="Q12" s="4" t="s">
        <v>38</v>
      </c>
      <c r="R1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2" s="5"/>
      <c r="T1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2" s="5"/>
      <c r="V12" s="5" t="str">
        <f>IF(Form_Responses[[#This Row],[Q2:   Are you interested in digital assets such as cryptocurrencies?  ]]="Yes",1, IF(Form_Responses[[#This Row],[Q2:   Are you interested in digital assets such as cryptocurrencies?  ]]="No",2,""))</f>
        <v/>
      </c>
      <c r="W12" s="5"/>
      <c r="X1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 s="5"/>
      <c r="Z12" s="5"/>
      <c r="AA12" s="5"/>
      <c r="AB1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2" s="5"/>
      <c r="AD1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2" s="5"/>
      <c r="AF12" s="5"/>
      <c r="AG12" s="4" t="s">
        <v>72</v>
      </c>
      <c r="AH1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1</v>
      </c>
      <c r="AI12" s="4">
        <v>4</v>
      </c>
      <c r="AJ12" s="4" t="s">
        <v>40</v>
      </c>
      <c r="AK1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12" s="4" t="s">
        <v>75</v>
      </c>
      <c r="AM12" s="5"/>
      <c r="AN12" s="5"/>
      <c r="AO1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 s="5"/>
      <c r="AQ1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 s="5"/>
      <c r="AS12" s="5"/>
      <c r="AT1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 s="5"/>
      <c r="AV1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 s="5"/>
      <c r="AX12" s="5"/>
    </row>
    <row r="13" spans="1:50" ht="22.5" customHeight="1" x14ac:dyDescent="0.2">
      <c r="A13" s="3">
        <v>46050.816803032409</v>
      </c>
      <c r="B13" s="4" t="s">
        <v>31</v>
      </c>
      <c r="C1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3" s="4" t="s">
        <v>32</v>
      </c>
      <c r="E13" s="5">
        <f>IF(Form_Responses[[#This Row],[Q1: What is your gender?]]="Male",1, IF(Form_Responses[[#This Row],[Q1: What is your gender?]]="Female",2,IF(Form_Responses[[#This Row],[Q1: What is your gender?]]="Prefer not to say", 3,"")))</f>
        <v>1</v>
      </c>
      <c r="F13" s="4" t="s">
        <v>33</v>
      </c>
      <c r="G13" s="5">
        <f>IF(Form_Responses[[#This Row],[Q2:  What is your nationality?  ]]="Bhutanese (living in Bhutan)",1, IF(Form_Responses[[#This Row],[Q2:  What is your nationality?  ]]="Bhutanese (living outside Bhutan)",2, IF(Form_Responses[[#This Row],[Q2:  What is your nationality?  ]]="International resident",3, "")))</f>
        <v>1</v>
      </c>
      <c r="H13" s="4" t="s">
        <v>34</v>
      </c>
      <c r="I1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3" s="4" t="s">
        <v>60</v>
      </c>
      <c r="K13" s="5">
        <f>IF(Form_Responses[[#This Row],[Q1.  Would you ever consider investing in gold?]]="Yes",1, IF(Form_Responses[[#This Row],[Q1.  Would you ever consider investing in gold?]]="No",2, IF(Form_Responses[[#This Row],[Q1.  Would you ever consider investing in gold?]]="Maybe",3, "")))</f>
        <v>3</v>
      </c>
      <c r="L13" s="4" t="s">
        <v>35</v>
      </c>
      <c r="M13"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3" s="4" t="s">
        <v>76</v>
      </c>
      <c r="O13" s="4">
        <v>4</v>
      </c>
      <c r="P13" s="5"/>
      <c r="Q13" s="4" t="s">
        <v>38</v>
      </c>
      <c r="R1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3" s="5"/>
      <c r="T1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3" s="5"/>
      <c r="V13" s="5" t="str">
        <f>IF(Form_Responses[[#This Row],[Q2:   Are you interested in digital assets such as cryptocurrencies?  ]]="Yes",1, IF(Form_Responses[[#This Row],[Q2:   Are you interested in digital assets such as cryptocurrencies?  ]]="No",2,""))</f>
        <v/>
      </c>
      <c r="W13" s="5"/>
      <c r="X1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3" s="5"/>
      <c r="Z13" s="5"/>
      <c r="AA13" s="5"/>
      <c r="AB1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3" s="5"/>
      <c r="AD1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3" s="5"/>
      <c r="AF13" s="5"/>
      <c r="AG13" s="4" t="s">
        <v>39</v>
      </c>
      <c r="AH1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3" s="4">
        <v>5</v>
      </c>
      <c r="AJ13" s="4" t="s">
        <v>54</v>
      </c>
      <c r="AK13"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13" s="4" t="s">
        <v>77</v>
      </c>
      <c r="AM13" s="5"/>
      <c r="AN13" s="5"/>
      <c r="AO1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3" s="5"/>
      <c r="AQ1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3" s="5"/>
      <c r="AS13" s="5"/>
      <c r="AT1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3" s="5"/>
      <c r="AV1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3" s="5"/>
      <c r="AX13" s="5"/>
    </row>
    <row r="14" spans="1:50" ht="22.5" customHeight="1" x14ac:dyDescent="0.2">
      <c r="A14" s="3">
        <v>46050.817248935185</v>
      </c>
      <c r="B14" s="4" t="s">
        <v>31</v>
      </c>
      <c r="C1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4" s="4" t="s">
        <v>63</v>
      </c>
      <c r="E14" s="5">
        <f>IF(Form_Responses[[#This Row],[Q1: What is your gender?]]="Male",1, IF(Form_Responses[[#This Row],[Q1: What is your gender?]]="Female",2,IF(Form_Responses[[#This Row],[Q1: What is your gender?]]="Prefer not to say", 3,"")))</f>
        <v>2</v>
      </c>
      <c r="F14" s="4" t="s">
        <v>33</v>
      </c>
      <c r="G14" s="5">
        <f>IF(Form_Responses[[#This Row],[Q2:  What is your nationality?  ]]="Bhutanese (living in Bhutan)",1, IF(Form_Responses[[#This Row],[Q2:  What is your nationality?  ]]="Bhutanese (living outside Bhutan)",2, IF(Form_Responses[[#This Row],[Q2:  What is your nationality?  ]]="International resident",3, "")))</f>
        <v>1</v>
      </c>
      <c r="H14" s="4" t="s">
        <v>78</v>
      </c>
      <c r="I1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4" s="4" t="s">
        <v>35</v>
      </c>
      <c r="K14" s="5">
        <f>IF(Form_Responses[[#This Row],[Q1.  Would you ever consider investing in gold?]]="Yes",1, IF(Form_Responses[[#This Row],[Q1.  Would you ever consider investing in gold?]]="No",2, IF(Form_Responses[[#This Row],[Q1.  Would you ever consider investing in gold?]]="Maybe",3, "")))</f>
        <v>1</v>
      </c>
      <c r="L14" s="4" t="s">
        <v>36</v>
      </c>
      <c r="M14"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4" s="5"/>
      <c r="O14" s="5"/>
      <c r="P14" s="4" t="s">
        <v>79</v>
      </c>
      <c r="Q14" s="4" t="s">
        <v>80</v>
      </c>
      <c r="R1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4" s="4" t="s">
        <v>35</v>
      </c>
      <c r="T14"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4" s="4" t="s">
        <v>35</v>
      </c>
      <c r="V14" s="5">
        <f>IF(Form_Responses[[#This Row],[Q2:   Are you interested in digital assets such as cryptocurrencies?  ]]="Yes",1, IF(Form_Responses[[#This Row],[Q2:   Are you interested in digital assets such as cryptocurrencies?  ]]="No",2,""))</f>
        <v>1</v>
      </c>
      <c r="W14" s="5"/>
      <c r="X1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4" s="5"/>
      <c r="Z14" s="4" t="s">
        <v>81</v>
      </c>
      <c r="AA14" s="4" t="s">
        <v>35</v>
      </c>
      <c r="AB14"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4" s="4" t="s">
        <v>82</v>
      </c>
      <c r="AD14"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5</v>
      </c>
      <c r="AE14" s="4" t="s">
        <v>83</v>
      </c>
      <c r="AF14" s="5"/>
      <c r="AG14" s="5"/>
      <c r="AH14"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4" s="5"/>
      <c r="AJ14" s="5"/>
      <c r="AK1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4" s="5"/>
      <c r="AM14" s="5"/>
      <c r="AN14" s="5"/>
      <c r="AO1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4" s="5"/>
      <c r="AQ1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4" s="5"/>
      <c r="AS14" s="5"/>
      <c r="AT1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4" s="5"/>
      <c r="AV1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4" s="5"/>
      <c r="AX14" s="5"/>
    </row>
    <row r="15" spans="1:50" ht="22.5" customHeight="1" x14ac:dyDescent="0.2">
      <c r="A15" s="3">
        <v>46050.817298877315</v>
      </c>
      <c r="B15" s="4" t="s">
        <v>31</v>
      </c>
      <c r="C1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5" s="4" t="s">
        <v>63</v>
      </c>
      <c r="E15" s="5">
        <f>IF(Form_Responses[[#This Row],[Q1: What is your gender?]]="Male",1, IF(Form_Responses[[#This Row],[Q1: What is your gender?]]="Female",2,IF(Form_Responses[[#This Row],[Q1: What is your gender?]]="Prefer not to say", 3,"")))</f>
        <v>2</v>
      </c>
      <c r="F15" s="4" t="s">
        <v>33</v>
      </c>
      <c r="G15" s="5">
        <f>IF(Form_Responses[[#This Row],[Q2:  What is your nationality?  ]]="Bhutanese (living in Bhutan)",1, IF(Form_Responses[[#This Row],[Q2:  What is your nationality?  ]]="Bhutanese (living outside Bhutan)",2, IF(Form_Responses[[#This Row],[Q2:  What is your nationality?  ]]="International resident",3, "")))</f>
        <v>1</v>
      </c>
      <c r="H15" s="4" t="s">
        <v>34</v>
      </c>
      <c r="I1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5" s="4" t="s">
        <v>35</v>
      </c>
      <c r="K15" s="5">
        <f>IF(Form_Responses[[#This Row],[Q1.  Would you ever consider investing in gold?]]="Yes",1, IF(Form_Responses[[#This Row],[Q1.  Would you ever consider investing in gold?]]="No",2, IF(Form_Responses[[#This Row],[Q1.  Would you ever consider investing in gold?]]="Maybe",3, "")))</f>
        <v>1</v>
      </c>
      <c r="L15" s="4" t="s">
        <v>35</v>
      </c>
      <c r="M15"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5" s="4" t="s">
        <v>53</v>
      </c>
      <c r="O15" s="4">
        <v>5</v>
      </c>
      <c r="P15" s="5"/>
      <c r="Q15" s="4" t="s">
        <v>84</v>
      </c>
      <c r="R1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15" s="5"/>
      <c r="T1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5" s="5"/>
      <c r="V15" s="5" t="str">
        <f>IF(Form_Responses[[#This Row],[Q2:   Are you interested in digital assets such as cryptocurrencies?  ]]="Yes",1, IF(Form_Responses[[#This Row],[Q2:   Are you interested in digital assets such as cryptocurrencies?  ]]="No",2,""))</f>
        <v/>
      </c>
      <c r="W15" s="5"/>
      <c r="X1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5" s="5"/>
      <c r="Z15" s="5"/>
      <c r="AA15" s="5"/>
      <c r="AB1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5" s="5"/>
      <c r="AD1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5" s="5"/>
      <c r="AF15" s="5"/>
      <c r="AG15" s="4" t="s">
        <v>43</v>
      </c>
      <c r="AH1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15" s="5"/>
      <c r="AJ15" s="5"/>
      <c r="AK1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5" s="5"/>
      <c r="AM15" s="4">
        <v>5</v>
      </c>
      <c r="AN15" s="4" t="s">
        <v>85</v>
      </c>
      <c r="AO15"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7</v>
      </c>
      <c r="AP15" s="4" t="s">
        <v>86</v>
      </c>
      <c r="AQ15"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7</v>
      </c>
      <c r="AR15" s="4">
        <v>5</v>
      </c>
      <c r="AS15" s="4" t="s">
        <v>87</v>
      </c>
      <c r="AT15"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15" s="4" t="s">
        <v>88</v>
      </c>
      <c r="AV15"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2</v>
      </c>
      <c r="AW15" s="4">
        <v>5</v>
      </c>
      <c r="AX15" s="4" t="s">
        <v>89</v>
      </c>
    </row>
    <row r="16" spans="1:50" ht="22.5" customHeight="1" x14ac:dyDescent="0.2">
      <c r="A16" s="3">
        <v>46050.818394618051</v>
      </c>
      <c r="B16" s="4" t="s">
        <v>31</v>
      </c>
      <c r="C1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6" s="4" t="s">
        <v>63</v>
      </c>
      <c r="E16" s="5">
        <f>IF(Form_Responses[[#This Row],[Q1: What is your gender?]]="Male",1, IF(Form_Responses[[#This Row],[Q1: What is your gender?]]="Female",2,IF(Form_Responses[[#This Row],[Q1: What is your gender?]]="Prefer not to say", 3,"")))</f>
        <v>2</v>
      </c>
      <c r="F16" s="4" t="s">
        <v>33</v>
      </c>
      <c r="G16" s="5">
        <f>IF(Form_Responses[[#This Row],[Q2:  What is your nationality?  ]]="Bhutanese (living in Bhutan)",1, IF(Form_Responses[[#This Row],[Q2:  What is your nationality?  ]]="Bhutanese (living outside Bhutan)",2, IF(Form_Responses[[#This Row],[Q2:  What is your nationality?  ]]="International resident",3, "")))</f>
        <v>1</v>
      </c>
      <c r="H16" s="4" t="s">
        <v>34</v>
      </c>
      <c r="I1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6" s="4" t="s">
        <v>35</v>
      </c>
      <c r="K16" s="5">
        <f>IF(Form_Responses[[#This Row],[Q1.  Would you ever consider investing in gold?]]="Yes",1, IF(Form_Responses[[#This Row],[Q1.  Would you ever consider investing in gold?]]="No",2, IF(Form_Responses[[#This Row],[Q1.  Would you ever consider investing in gold?]]="Maybe",3, "")))</f>
        <v>1</v>
      </c>
      <c r="L16" s="4" t="s">
        <v>36</v>
      </c>
      <c r="M1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6" s="5"/>
      <c r="O16" s="5"/>
      <c r="P16" s="4" t="s">
        <v>90</v>
      </c>
      <c r="Q16" s="4" t="s">
        <v>80</v>
      </c>
      <c r="R1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6" s="4" t="s">
        <v>60</v>
      </c>
      <c r="T16"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6" s="4" t="s">
        <v>35</v>
      </c>
      <c r="V16" s="5">
        <f>IF(Form_Responses[[#This Row],[Q2:   Are you interested in digital assets such as cryptocurrencies?  ]]="Yes",1, IF(Form_Responses[[#This Row],[Q2:   Are you interested in digital assets such as cryptocurrencies?  ]]="No",2,""))</f>
        <v>1</v>
      </c>
      <c r="W16" s="5"/>
      <c r="X1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6" s="5"/>
      <c r="Z16" s="4" t="s">
        <v>91</v>
      </c>
      <c r="AA16" s="4" t="s">
        <v>60</v>
      </c>
      <c r="AB16"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16" s="4" t="s">
        <v>92</v>
      </c>
      <c r="AD16"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6</v>
      </c>
      <c r="AE16" s="4" t="s">
        <v>93</v>
      </c>
      <c r="AF16" s="5"/>
      <c r="AG16" s="5"/>
      <c r="AH16"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6" s="5"/>
      <c r="AJ16" s="5"/>
      <c r="AK16"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6" s="5"/>
      <c r="AM16" s="5"/>
      <c r="AN16" s="5"/>
      <c r="AO1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6" s="5"/>
      <c r="AQ1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6" s="5"/>
      <c r="AS16" s="5"/>
      <c r="AT1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6" s="5"/>
      <c r="AV1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6" s="5"/>
      <c r="AX16" s="5"/>
    </row>
    <row r="17" spans="1:50" ht="22.5" customHeight="1" x14ac:dyDescent="0.2">
      <c r="A17" s="3">
        <v>46050.820040115737</v>
      </c>
      <c r="B17" s="4" t="s">
        <v>31</v>
      </c>
      <c r="C1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7" s="4" t="s">
        <v>63</v>
      </c>
      <c r="E17" s="5">
        <f>IF(Form_Responses[[#This Row],[Q1: What is your gender?]]="Male",1, IF(Form_Responses[[#This Row],[Q1: What is your gender?]]="Female",2,IF(Form_Responses[[#This Row],[Q1: What is your gender?]]="Prefer not to say", 3,"")))</f>
        <v>2</v>
      </c>
      <c r="F17" s="4" t="s">
        <v>33</v>
      </c>
      <c r="G17" s="5">
        <f>IF(Form_Responses[[#This Row],[Q2:  What is your nationality?  ]]="Bhutanese (living in Bhutan)",1, IF(Form_Responses[[#This Row],[Q2:  What is your nationality?  ]]="Bhutanese (living outside Bhutan)",2, IF(Form_Responses[[#This Row],[Q2:  What is your nationality?  ]]="International resident",3, "")))</f>
        <v>1</v>
      </c>
      <c r="H17" s="4" t="s">
        <v>56</v>
      </c>
      <c r="I1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7" s="4" t="s">
        <v>35</v>
      </c>
      <c r="K17" s="5">
        <f>IF(Form_Responses[[#This Row],[Q1.  Would you ever consider investing in gold?]]="Yes",1, IF(Form_Responses[[#This Row],[Q1.  Would you ever consider investing in gold?]]="No",2, IF(Form_Responses[[#This Row],[Q1.  Would you ever consider investing in gold?]]="Maybe",3, "")))</f>
        <v>1</v>
      </c>
      <c r="L17" s="4" t="s">
        <v>36</v>
      </c>
      <c r="M1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7" s="5"/>
      <c r="O17" s="5"/>
      <c r="P17" s="4" t="s">
        <v>94</v>
      </c>
      <c r="Q17" s="4" t="s">
        <v>80</v>
      </c>
      <c r="R1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7" s="4" t="s">
        <v>35</v>
      </c>
      <c r="T17"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7" s="4" t="s">
        <v>35</v>
      </c>
      <c r="V17" s="5">
        <f>IF(Form_Responses[[#This Row],[Q2:   Are you interested in digital assets such as cryptocurrencies?  ]]="Yes",1, IF(Form_Responses[[#This Row],[Q2:   Are you interested in digital assets such as cryptocurrencies?  ]]="No",2,""))</f>
        <v>1</v>
      </c>
      <c r="W17" s="5"/>
      <c r="X1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7" s="5"/>
      <c r="Z17" s="4" t="s">
        <v>95</v>
      </c>
      <c r="AA17" s="4" t="s">
        <v>35</v>
      </c>
      <c r="AB17"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7" s="4" t="s">
        <v>68</v>
      </c>
      <c r="AD17"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17" s="4" t="s">
        <v>96</v>
      </c>
      <c r="AF17" s="5"/>
      <c r="AG17" s="5"/>
      <c r="AH17"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7" s="5"/>
      <c r="AJ17" s="5"/>
      <c r="AK1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7" s="5"/>
      <c r="AM17" s="5"/>
      <c r="AN17" s="5"/>
      <c r="AO1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7" s="5"/>
      <c r="AQ1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7" s="5"/>
      <c r="AS17" s="5"/>
      <c r="AT1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7" s="5"/>
      <c r="AV1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7" s="5"/>
      <c r="AX17" s="5"/>
    </row>
    <row r="18" spans="1:50" ht="22.5" customHeight="1" x14ac:dyDescent="0.2">
      <c r="A18" s="3">
        <v>46050.820086840278</v>
      </c>
      <c r="B18" s="4" t="s">
        <v>31</v>
      </c>
      <c r="C1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8" s="4" t="s">
        <v>32</v>
      </c>
      <c r="E18" s="5">
        <f>IF(Form_Responses[[#This Row],[Q1: What is your gender?]]="Male",1, IF(Form_Responses[[#This Row],[Q1: What is your gender?]]="Female",2,IF(Form_Responses[[#This Row],[Q1: What is your gender?]]="Prefer not to say", 3,"")))</f>
        <v>1</v>
      </c>
      <c r="F18" s="4" t="s">
        <v>33</v>
      </c>
      <c r="G18" s="5">
        <f>IF(Form_Responses[[#This Row],[Q2:  What is your nationality?  ]]="Bhutanese (living in Bhutan)",1, IF(Form_Responses[[#This Row],[Q2:  What is your nationality?  ]]="Bhutanese (living outside Bhutan)",2, IF(Form_Responses[[#This Row],[Q2:  What is your nationality?  ]]="International resident",3, "")))</f>
        <v>1</v>
      </c>
      <c r="H18" s="4" t="s">
        <v>34</v>
      </c>
      <c r="I1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8" s="4" t="s">
        <v>35</v>
      </c>
      <c r="K18" s="5">
        <f>IF(Form_Responses[[#This Row],[Q1.  Would you ever consider investing in gold?]]="Yes",1, IF(Form_Responses[[#This Row],[Q1.  Would you ever consider investing in gold?]]="No",2, IF(Form_Responses[[#This Row],[Q1.  Would you ever consider investing in gold?]]="Maybe",3, "")))</f>
        <v>1</v>
      </c>
      <c r="L18" s="4" t="s">
        <v>35</v>
      </c>
      <c r="M18"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8" s="4" t="s">
        <v>53</v>
      </c>
      <c r="O18" s="4">
        <v>4</v>
      </c>
      <c r="P18" s="5"/>
      <c r="Q18" s="4" t="s">
        <v>38</v>
      </c>
      <c r="R1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8" s="5"/>
      <c r="T1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8" s="5"/>
      <c r="V18" s="5" t="str">
        <f>IF(Form_Responses[[#This Row],[Q2:   Are you interested in digital assets such as cryptocurrencies?  ]]="Yes",1, IF(Form_Responses[[#This Row],[Q2:   Are you interested in digital assets such as cryptocurrencies?  ]]="No",2,""))</f>
        <v/>
      </c>
      <c r="W18" s="5"/>
      <c r="X1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8" s="5"/>
      <c r="Z18" s="5"/>
      <c r="AA18" s="5"/>
      <c r="AB1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8" s="5"/>
      <c r="AD1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8" s="5"/>
      <c r="AF18" s="5"/>
      <c r="AG18" s="4" t="s">
        <v>43</v>
      </c>
      <c r="AH18"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18" s="5"/>
      <c r="AJ18" s="5"/>
      <c r="AK1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8" s="5"/>
      <c r="AM18" s="4">
        <v>4</v>
      </c>
      <c r="AN18" s="4" t="s">
        <v>97</v>
      </c>
      <c r="AO18"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4</v>
      </c>
      <c r="AP18" s="4" t="s">
        <v>98</v>
      </c>
      <c r="AQ18"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3</v>
      </c>
      <c r="AR18" s="4">
        <v>4</v>
      </c>
      <c r="AS18" s="4" t="s">
        <v>87</v>
      </c>
      <c r="AT18"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18" s="4" t="s">
        <v>88</v>
      </c>
      <c r="AV18"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2</v>
      </c>
      <c r="AW18" s="4">
        <v>4</v>
      </c>
      <c r="AX18" s="4" t="s">
        <v>99</v>
      </c>
    </row>
    <row r="19" spans="1:50" ht="22.5" customHeight="1" x14ac:dyDescent="0.2">
      <c r="A19" s="3">
        <v>46050.821052407409</v>
      </c>
      <c r="B19" s="4" t="s">
        <v>31</v>
      </c>
      <c r="C1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9" s="4" t="s">
        <v>32</v>
      </c>
      <c r="E19" s="5">
        <f>IF(Form_Responses[[#This Row],[Q1: What is your gender?]]="Male",1, IF(Form_Responses[[#This Row],[Q1: What is your gender?]]="Female",2,IF(Form_Responses[[#This Row],[Q1: What is your gender?]]="Prefer not to say", 3,"")))</f>
        <v>1</v>
      </c>
      <c r="F19" s="4" t="s">
        <v>33</v>
      </c>
      <c r="G19" s="5">
        <f>IF(Form_Responses[[#This Row],[Q2:  What is your nationality?  ]]="Bhutanese (living in Bhutan)",1, IF(Form_Responses[[#This Row],[Q2:  What is your nationality?  ]]="Bhutanese (living outside Bhutan)",2, IF(Form_Responses[[#This Row],[Q2:  What is your nationality?  ]]="International resident",3, "")))</f>
        <v>1</v>
      </c>
      <c r="H19" s="4" t="s">
        <v>34</v>
      </c>
      <c r="I1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9" s="4" t="s">
        <v>35</v>
      </c>
      <c r="K19" s="5">
        <f>IF(Form_Responses[[#This Row],[Q1.  Would you ever consider investing in gold?]]="Yes",1, IF(Form_Responses[[#This Row],[Q1.  Would you ever consider investing in gold?]]="No",2, IF(Form_Responses[[#This Row],[Q1.  Would you ever consider investing in gold?]]="Maybe",3, "")))</f>
        <v>1</v>
      </c>
      <c r="L19" s="4" t="s">
        <v>36</v>
      </c>
      <c r="M1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9" s="5"/>
      <c r="O19" s="5"/>
      <c r="P19" s="4" t="s">
        <v>100</v>
      </c>
      <c r="Q19" s="4" t="s">
        <v>38</v>
      </c>
      <c r="R1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9" s="5"/>
      <c r="T1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9" s="5"/>
      <c r="V19" s="5" t="str">
        <f>IF(Form_Responses[[#This Row],[Q2:   Are you interested in digital assets such as cryptocurrencies?  ]]="Yes",1, IF(Form_Responses[[#This Row],[Q2:   Are you interested in digital assets such as cryptocurrencies?  ]]="No",2,""))</f>
        <v/>
      </c>
      <c r="W19" s="5"/>
      <c r="X1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9" s="5"/>
      <c r="Z19" s="5"/>
      <c r="AA19" s="5"/>
      <c r="AB1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9" s="5"/>
      <c r="AD1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9" s="5"/>
      <c r="AF19" s="5"/>
      <c r="AG19" s="4" t="s">
        <v>39</v>
      </c>
      <c r="AH1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9" s="4">
        <v>4</v>
      </c>
      <c r="AJ19" s="4" t="s">
        <v>54</v>
      </c>
      <c r="AK19"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19" s="4" t="s">
        <v>101</v>
      </c>
      <c r="AM19" s="5"/>
      <c r="AN19" s="5"/>
      <c r="AO1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9" s="5"/>
      <c r="AQ1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9" s="5"/>
      <c r="AS19" s="5"/>
      <c r="AT1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9" s="5"/>
      <c r="AV1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9" s="5"/>
      <c r="AX19" s="5"/>
    </row>
    <row r="20" spans="1:50" ht="22.5" customHeight="1" x14ac:dyDescent="0.2">
      <c r="A20" s="3">
        <v>46050.822869930555</v>
      </c>
      <c r="B20" s="4" t="s">
        <v>102</v>
      </c>
      <c r="C2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20" s="4" t="s">
        <v>32</v>
      </c>
      <c r="E20" s="5">
        <f>IF(Form_Responses[[#This Row],[Q1: What is your gender?]]="Male",1, IF(Form_Responses[[#This Row],[Q1: What is your gender?]]="Female",2,IF(Form_Responses[[#This Row],[Q1: What is your gender?]]="Prefer not to say", 3,"")))</f>
        <v>1</v>
      </c>
      <c r="F20" s="4" t="s">
        <v>33</v>
      </c>
      <c r="G20" s="5">
        <f>IF(Form_Responses[[#This Row],[Q2:  What is your nationality?  ]]="Bhutanese (living in Bhutan)",1, IF(Form_Responses[[#This Row],[Q2:  What is your nationality?  ]]="Bhutanese (living outside Bhutan)",2, IF(Form_Responses[[#This Row],[Q2:  What is your nationality?  ]]="International resident",3, "")))</f>
        <v>1</v>
      </c>
      <c r="H20" s="4" t="s">
        <v>56</v>
      </c>
      <c r="I2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20" s="4" t="s">
        <v>35</v>
      </c>
      <c r="K20" s="5">
        <f>IF(Form_Responses[[#This Row],[Q1.  Would you ever consider investing in gold?]]="Yes",1, IF(Form_Responses[[#This Row],[Q1.  Would you ever consider investing in gold?]]="No",2, IF(Form_Responses[[#This Row],[Q1.  Would you ever consider investing in gold?]]="Maybe",3, "")))</f>
        <v>1</v>
      </c>
      <c r="L20" s="4" t="s">
        <v>36</v>
      </c>
      <c r="M2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0" s="5"/>
      <c r="O20" s="5"/>
      <c r="P20" s="4" t="s">
        <v>103</v>
      </c>
      <c r="Q20" s="4" t="s">
        <v>66</v>
      </c>
      <c r="R2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1</v>
      </c>
      <c r="S20" s="4" t="s">
        <v>60</v>
      </c>
      <c r="T2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20" s="4" t="s">
        <v>35</v>
      </c>
      <c r="V20" s="5">
        <f>IF(Form_Responses[[#This Row],[Q2:   Are you interested in digital assets such as cryptocurrencies?  ]]="Yes",1, IF(Form_Responses[[#This Row],[Q2:   Are you interested in digital assets such as cryptocurrencies?  ]]="No",2,""))</f>
        <v>1</v>
      </c>
      <c r="W20" s="5"/>
      <c r="X2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0" s="5"/>
      <c r="Z20" s="4" t="s">
        <v>104</v>
      </c>
      <c r="AA20" s="4" t="s">
        <v>35</v>
      </c>
      <c r="AB20"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20" s="4" t="s">
        <v>92</v>
      </c>
      <c r="AD20"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6</v>
      </c>
      <c r="AE20" s="4" t="s">
        <v>104</v>
      </c>
      <c r="AF20" s="5"/>
      <c r="AG20" s="5"/>
      <c r="AH2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20" s="5"/>
      <c r="AJ20" s="5"/>
      <c r="AK2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0" s="5"/>
      <c r="AM20" s="5"/>
      <c r="AN20" s="5"/>
      <c r="AO2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20" s="5"/>
      <c r="AQ2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20" s="5"/>
      <c r="AS20" s="5"/>
      <c r="AT2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20" s="5"/>
      <c r="AV2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20" s="5"/>
      <c r="AX20" s="5"/>
    </row>
    <row r="21" spans="1:50" ht="22.5" customHeight="1" x14ac:dyDescent="0.2">
      <c r="A21" s="3">
        <v>46050.823185833331</v>
      </c>
      <c r="B21" s="4" t="s">
        <v>31</v>
      </c>
      <c r="C2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1" s="4" t="s">
        <v>63</v>
      </c>
      <c r="E21" s="5">
        <f>IF(Form_Responses[[#This Row],[Q1: What is your gender?]]="Male",1, IF(Form_Responses[[#This Row],[Q1: What is your gender?]]="Female",2,IF(Form_Responses[[#This Row],[Q1: What is your gender?]]="Prefer not to say", 3,"")))</f>
        <v>2</v>
      </c>
      <c r="F21" s="4" t="s">
        <v>33</v>
      </c>
      <c r="G21" s="5">
        <f>IF(Form_Responses[[#This Row],[Q2:  What is your nationality?  ]]="Bhutanese (living in Bhutan)",1, IF(Form_Responses[[#This Row],[Q2:  What is your nationality?  ]]="Bhutanese (living outside Bhutan)",2, IF(Form_Responses[[#This Row],[Q2:  What is your nationality?  ]]="International resident",3, "")))</f>
        <v>1</v>
      </c>
      <c r="H21" s="4" t="s">
        <v>56</v>
      </c>
      <c r="I2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21" s="4" t="s">
        <v>35</v>
      </c>
      <c r="K21" s="5">
        <f>IF(Form_Responses[[#This Row],[Q1.  Would you ever consider investing in gold?]]="Yes",1, IF(Form_Responses[[#This Row],[Q1.  Would you ever consider investing in gold?]]="No",2, IF(Form_Responses[[#This Row],[Q1.  Would you ever consider investing in gold?]]="Maybe",3, "")))</f>
        <v>1</v>
      </c>
      <c r="L21" s="4" t="s">
        <v>35</v>
      </c>
      <c r="M21"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21" s="4" t="s">
        <v>53</v>
      </c>
      <c r="O21" s="4">
        <v>4</v>
      </c>
      <c r="P21" s="5"/>
      <c r="Q21" s="4" t="s">
        <v>84</v>
      </c>
      <c r="R2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21" s="5"/>
      <c r="T2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1" s="5"/>
      <c r="V21" s="5" t="str">
        <f>IF(Form_Responses[[#This Row],[Q2:   Are you interested in digital assets such as cryptocurrencies?  ]]="Yes",1, IF(Form_Responses[[#This Row],[Q2:   Are you interested in digital assets such as cryptocurrencies?  ]]="No",2,""))</f>
        <v/>
      </c>
      <c r="W21" s="5"/>
      <c r="X2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1" s="5"/>
      <c r="Z21" s="5"/>
      <c r="AA21" s="5"/>
      <c r="AB2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1" s="5"/>
      <c r="AD2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1" s="5"/>
      <c r="AF21" s="5"/>
      <c r="AG21" s="4" t="s">
        <v>43</v>
      </c>
      <c r="AH2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21" s="5"/>
      <c r="AJ21" s="5"/>
      <c r="AK2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1" s="5"/>
      <c r="AM21" s="4">
        <v>4</v>
      </c>
      <c r="AN21" s="4" t="s">
        <v>105</v>
      </c>
      <c r="AO21"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21" s="4" t="s">
        <v>98</v>
      </c>
      <c r="AQ21"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3</v>
      </c>
      <c r="AR21" s="4">
        <v>4</v>
      </c>
      <c r="AS21" s="4" t="s">
        <v>87</v>
      </c>
      <c r="AT21"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21" s="4" t="s">
        <v>68</v>
      </c>
      <c r="AV21"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21" s="4">
        <v>4</v>
      </c>
      <c r="AX21" s="4" t="s">
        <v>106</v>
      </c>
    </row>
    <row r="22" spans="1:50" ht="22.5" customHeight="1" x14ac:dyDescent="0.2">
      <c r="A22" s="3">
        <v>46050.823423854163</v>
      </c>
      <c r="B22" s="4" t="s">
        <v>31</v>
      </c>
      <c r="C2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2" s="4" t="s">
        <v>63</v>
      </c>
      <c r="E22" s="5">
        <f>IF(Form_Responses[[#This Row],[Q1: What is your gender?]]="Male",1, IF(Form_Responses[[#This Row],[Q1: What is your gender?]]="Female",2,IF(Form_Responses[[#This Row],[Q1: What is your gender?]]="Prefer not to say", 3,"")))</f>
        <v>2</v>
      </c>
      <c r="F22" s="4" t="s">
        <v>33</v>
      </c>
      <c r="G22" s="5">
        <f>IF(Form_Responses[[#This Row],[Q2:  What is your nationality?  ]]="Bhutanese (living in Bhutan)",1, IF(Form_Responses[[#This Row],[Q2:  What is your nationality?  ]]="Bhutanese (living outside Bhutan)",2, IF(Form_Responses[[#This Row],[Q2:  What is your nationality?  ]]="International resident",3, "")))</f>
        <v>1</v>
      </c>
      <c r="H22" s="4" t="s">
        <v>34</v>
      </c>
      <c r="I2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2" s="4" t="s">
        <v>35</v>
      </c>
      <c r="K22" s="5">
        <f>IF(Form_Responses[[#This Row],[Q1.  Would you ever consider investing in gold?]]="Yes",1, IF(Form_Responses[[#This Row],[Q1.  Would you ever consider investing in gold?]]="No",2, IF(Form_Responses[[#This Row],[Q1.  Would you ever consider investing in gold?]]="Maybe",3, "")))</f>
        <v>1</v>
      </c>
      <c r="L22" s="4" t="s">
        <v>35</v>
      </c>
      <c r="M22"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22" s="4" t="s">
        <v>53</v>
      </c>
      <c r="O22" s="4">
        <v>4</v>
      </c>
      <c r="P22" s="5"/>
      <c r="Q22" s="4" t="s">
        <v>107</v>
      </c>
      <c r="R2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5</v>
      </c>
      <c r="S22" s="5"/>
      <c r="T2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2" s="5"/>
      <c r="V22" s="5" t="str">
        <f>IF(Form_Responses[[#This Row],[Q2:   Are you interested in digital assets such as cryptocurrencies?  ]]="Yes",1, IF(Form_Responses[[#This Row],[Q2:   Are you interested in digital assets such as cryptocurrencies?  ]]="No",2,""))</f>
        <v/>
      </c>
      <c r="W22" s="5"/>
      <c r="X2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2" s="5"/>
      <c r="Z22" s="5"/>
      <c r="AA22" s="5"/>
      <c r="AB2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2" s="5"/>
      <c r="AD2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2" s="5"/>
      <c r="AF22" s="5"/>
      <c r="AG22" s="4" t="s">
        <v>108</v>
      </c>
      <c r="AH2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22" s="5"/>
      <c r="AJ22" s="5"/>
      <c r="AK22"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2" s="5"/>
      <c r="AM22" s="4">
        <v>3</v>
      </c>
      <c r="AN22" s="4" t="s">
        <v>109</v>
      </c>
      <c r="AO22"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8</v>
      </c>
      <c r="AP22" s="4" t="s">
        <v>110</v>
      </c>
      <c r="AQ22"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8</v>
      </c>
      <c r="AR22" s="4">
        <v>5</v>
      </c>
      <c r="AS22" s="4" t="s">
        <v>87</v>
      </c>
      <c r="AT22"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22" s="4" t="s">
        <v>47</v>
      </c>
      <c r="AV22"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22" s="4">
        <v>3</v>
      </c>
      <c r="AX22" s="4" t="s">
        <v>111</v>
      </c>
    </row>
    <row r="23" spans="1:50" ht="22.5" customHeight="1" x14ac:dyDescent="0.2">
      <c r="A23" s="3">
        <v>46050.824498935181</v>
      </c>
      <c r="B23" s="4" t="s">
        <v>31</v>
      </c>
      <c r="C2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3" s="4" t="s">
        <v>63</v>
      </c>
      <c r="E23" s="5">
        <f>IF(Form_Responses[[#This Row],[Q1: What is your gender?]]="Male",1, IF(Form_Responses[[#This Row],[Q1: What is your gender?]]="Female",2,IF(Form_Responses[[#This Row],[Q1: What is your gender?]]="Prefer not to say", 3,"")))</f>
        <v>2</v>
      </c>
      <c r="F23" s="4" t="s">
        <v>33</v>
      </c>
      <c r="G23" s="5">
        <f>IF(Form_Responses[[#This Row],[Q2:  What is your nationality?  ]]="Bhutanese (living in Bhutan)",1, IF(Form_Responses[[#This Row],[Q2:  What is your nationality?  ]]="Bhutanese (living outside Bhutan)",2, IF(Form_Responses[[#This Row],[Q2:  What is your nationality?  ]]="International resident",3, "")))</f>
        <v>1</v>
      </c>
      <c r="H23" s="4" t="s">
        <v>34</v>
      </c>
      <c r="I2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3" s="4" t="s">
        <v>60</v>
      </c>
      <c r="K23" s="5">
        <f>IF(Form_Responses[[#This Row],[Q1.  Would you ever consider investing in gold?]]="Yes",1, IF(Form_Responses[[#This Row],[Q1.  Would you ever consider investing in gold?]]="No",2, IF(Form_Responses[[#This Row],[Q1.  Would you ever consider investing in gold?]]="Maybe",3, "")))</f>
        <v>3</v>
      </c>
      <c r="L23" s="4" t="s">
        <v>36</v>
      </c>
      <c r="M2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3" s="5"/>
      <c r="O23" s="5"/>
      <c r="P23" s="4" t="s">
        <v>112</v>
      </c>
      <c r="Q23" s="4" t="s">
        <v>84</v>
      </c>
      <c r="R2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23" s="5"/>
      <c r="T2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3" s="5"/>
      <c r="V23" s="5" t="str">
        <f>IF(Form_Responses[[#This Row],[Q2:   Are you interested in digital assets such as cryptocurrencies?  ]]="Yes",1, IF(Form_Responses[[#This Row],[Q2:   Are you interested in digital assets such as cryptocurrencies?  ]]="No",2,""))</f>
        <v/>
      </c>
      <c r="W23" s="5"/>
      <c r="X2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3" s="5"/>
      <c r="Z23" s="5"/>
      <c r="AA23" s="5"/>
      <c r="AB2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3" s="5"/>
      <c r="AD2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3" s="5"/>
      <c r="AF23" s="5"/>
      <c r="AG23" s="4" t="s">
        <v>43</v>
      </c>
      <c r="AH2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23" s="5"/>
      <c r="AJ23" s="5"/>
      <c r="AK2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3" s="5"/>
      <c r="AM23" s="4">
        <v>4</v>
      </c>
      <c r="AN23" s="4" t="s">
        <v>113</v>
      </c>
      <c r="AO23"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9</v>
      </c>
      <c r="AP23" s="4" t="s">
        <v>86</v>
      </c>
      <c r="AQ23"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7</v>
      </c>
      <c r="AR23" s="4">
        <v>4</v>
      </c>
      <c r="AS23" s="4" t="s">
        <v>87</v>
      </c>
      <c r="AT23"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23" s="4" t="s">
        <v>114</v>
      </c>
      <c r="AV23"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6</v>
      </c>
      <c r="AW23" s="4">
        <v>5</v>
      </c>
      <c r="AX23" s="4" t="s">
        <v>115</v>
      </c>
    </row>
    <row r="24" spans="1:50" ht="22.5" customHeight="1" x14ac:dyDescent="0.2">
      <c r="A24" s="3">
        <v>46050.825072083331</v>
      </c>
      <c r="B24" s="4" t="s">
        <v>31</v>
      </c>
      <c r="C2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4" s="4" t="s">
        <v>63</v>
      </c>
      <c r="E24" s="5">
        <f>IF(Form_Responses[[#This Row],[Q1: What is your gender?]]="Male",1, IF(Form_Responses[[#This Row],[Q1: What is your gender?]]="Female",2,IF(Form_Responses[[#This Row],[Q1: What is your gender?]]="Prefer not to say", 3,"")))</f>
        <v>2</v>
      </c>
      <c r="F24" s="4" t="s">
        <v>33</v>
      </c>
      <c r="G24" s="5">
        <f>IF(Form_Responses[[#This Row],[Q2:  What is your nationality?  ]]="Bhutanese (living in Bhutan)",1, IF(Form_Responses[[#This Row],[Q2:  What is your nationality?  ]]="Bhutanese (living outside Bhutan)",2, IF(Form_Responses[[#This Row],[Q2:  What is your nationality?  ]]="International resident",3, "")))</f>
        <v>1</v>
      </c>
      <c r="H24" s="4" t="s">
        <v>34</v>
      </c>
      <c r="I2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4" s="4" t="s">
        <v>60</v>
      </c>
      <c r="K24" s="5">
        <f>IF(Form_Responses[[#This Row],[Q1.  Would you ever consider investing in gold?]]="Yes",1, IF(Form_Responses[[#This Row],[Q1.  Would you ever consider investing in gold?]]="No",2, IF(Form_Responses[[#This Row],[Q1.  Would you ever consider investing in gold?]]="Maybe",3, "")))</f>
        <v>3</v>
      </c>
      <c r="L24" s="4" t="s">
        <v>36</v>
      </c>
      <c r="M24"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4" s="5"/>
      <c r="O24" s="5"/>
      <c r="P24" s="4" t="s">
        <v>116</v>
      </c>
      <c r="Q24" s="4" t="s">
        <v>38</v>
      </c>
      <c r="R2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24" s="5"/>
      <c r="T2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4" s="5"/>
      <c r="V24" s="5" t="str">
        <f>IF(Form_Responses[[#This Row],[Q2:   Are you interested in digital assets such as cryptocurrencies?  ]]="Yes",1, IF(Form_Responses[[#This Row],[Q2:   Are you interested in digital assets such as cryptocurrencies?  ]]="No",2,""))</f>
        <v/>
      </c>
      <c r="W24" s="5"/>
      <c r="X2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4" s="5"/>
      <c r="Z24" s="5"/>
      <c r="AA24" s="5"/>
      <c r="AB2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4" s="5"/>
      <c r="AD2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4" s="5"/>
      <c r="AF24" s="5"/>
      <c r="AG24" s="4" t="s">
        <v>39</v>
      </c>
      <c r="AH2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24" s="4">
        <v>5</v>
      </c>
      <c r="AJ24" s="4" t="s">
        <v>58</v>
      </c>
      <c r="AK24"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24" s="4" t="s">
        <v>117</v>
      </c>
      <c r="AM24" s="5"/>
      <c r="AN24" s="5"/>
      <c r="AO2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24" s="5"/>
      <c r="AQ2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24" s="5"/>
      <c r="AS24" s="5"/>
      <c r="AT2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24" s="5"/>
      <c r="AV2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24" s="5"/>
      <c r="AX24" s="5"/>
    </row>
    <row r="25" spans="1:50" ht="22.5" customHeight="1" x14ac:dyDescent="0.2">
      <c r="A25" s="3">
        <v>46050.825903958335</v>
      </c>
      <c r="B25" s="4" t="s">
        <v>31</v>
      </c>
      <c r="C2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5" s="4" t="s">
        <v>118</v>
      </c>
      <c r="E25" s="5">
        <f>IF(Form_Responses[[#This Row],[Q1: What is your gender?]]="Male",1, IF(Form_Responses[[#This Row],[Q1: What is your gender?]]="Female",2,IF(Form_Responses[[#This Row],[Q1: What is your gender?]]="Prefer not to say", 3,"")))</f>
        <v>3</v>
      </c>
      <c r="F25" s="4" t="s">
        <v>33</v>
      </c>
      <c r="G25" s="5">
        <f>IF(Form_Responses[[#This Row],[Q2:  What is your nationality?  ]]="Bhutanese (living in Bhutan)",1, IF(Form_Responses[[#This Row],[Q2:  What is your nationality?  ]]="Bhutanese (living outside Bhutan)",2, IF(Form_Responses[[#This Row],[Q2:  What is your nationality?  ]]="International resident",3, "")))</f>
        <v>1</v>
      </c>
      <c r="H25" s="4" t="s">
        <v>56</v>
      </c>
      <c r="I2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25" s="4" t="s">
        <v>35</v>
      </c>
      <c r="K25" s="5">
        <f>IF(Form_Responses[[#This Row],[Q1.  Would you ever consider investing in gold?]]="Yes",1, IF(Form_Responses[[#This Row],[Q1.  Would you ever consider investing in gold?]]="No",2, IF(Form_Responses[[#This Row],[Q1.  Would you ever consider investing in gold?]]="Maybe",3, "")))</f>
        <v>1</v>
      </c>
      <c r="L25" s="4" t="s">
        <v>36</v>
      </c>
      <c r="M2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5" s="5"/>
      <c r="O25" s="5"/>
      <c r="P25" s="4" t="s">
        <v>119</v>
      </c>
      <c r="Q25" s="4" t="s">
        <v>38</v>
      </c>
      <c r="R2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25" s="5"/>
      <c r="T2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5" s="5"/>
      <c r="V25" s="5" t="str">
        <f>IF(Form_Responses[[#This Row],[Q2:   Are you interested in digital assets such as cryptocurrencies?  ]]="Yes",1, IF(Form_Responses[[#This Row],[Q2:   Are you interested in digital assets such as cryptocurrencies?  ]]="No",2,""))</f>
        <v/>
      </c>
      <c r="W25" s="5"/>
      <c r="X2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5" s="5"/>
      <c r="Z25" s="5"/>
      <c r="AA25" s="5"/>
      <c r="AB2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5" s="5"/>
      <c r="AD2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5" s="5"/>
      <c r="AF25" s="5"/>
      <c r="AG25" s="4" t="s">
        <v>39</v>
      </c>
      <c r="AH2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25" s="4">
        <v>4</v>
      </c>
      <c r="AJ25" s="4" t="s">
        <v>54</v>
      </c>
      <c r="AK25"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25" s="4" t="s">
        <v>120</v>
      </c>
      <c r="AM25" s="5"/>
      <c r="AN25" s="5"/>
      <c r="AO2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25" s="5"/>
      <c r="AQ2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25" s="5"/>
      <c r="AS25" s="5"/>
      <c r="AT2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25" s="5"/>
      <c r="AV2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25" s="5"/>
      <c r="AX25" s="5"/>
    </row>
    <row r="26" spans="1:50" ht="22.5" customHeight="1" x14ac:dyDescent="0.2">
      <c r="A26" s="3">
        <v>46050.826457662042</v>
      </c>
      <c r="B26" s="4" t="s">
        <v>31</v>
      </c>
      <c r="C2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6" s="4" t="s">
        <v>63</v>
      </c>
      <c r="E26" s="5">
        <f>IF(Form_Responses[[#This Row],[Q1: What is your gender?]]="Male",1, IF(Form_Responses[[#This Row],[Q1: What is your gender?]]="Female",2,IF(Form_Responses[[#This Row],[Q1: What is your gender?]]="Prefer not to say", 3,"")))</f>
        <v>2</v>
      </c>
      <c r="F26" s="4" t="s">
        <v>33</v>
      </c>
      <c r="G26" s="5">
        <f>IF(Form_Responses[[#This Row],[Q2:  What is your nationality?  ]]="Bhutanese (living in Bhutan)",1, IF(Form_Responses[[#This Row],[Q2:  What is your nationality?  ]]="Bhutanese (living outside Bhutan)",2, IF(Form_Responses[[#This Row],[Q2:  What is your nationality?  ]]="International resident",3, "")))</f>
        <v>1</v>
      </c>
      <c r="H26" s="4" t="s">
        <v>34</v>
      </c>
      <c r="I2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6" s="4" t="s">
        <v>35</v>
      </c>
      <c r="K26" s="5">
        <f>IF(Form_Responses[[#This Row],[Q1.  Would you ever consider investing in gold?]]="Yes",1, IF(Form_Responses[[#This Row],[Q1.  Would you ever consider investing in gold?]]="No",2, IF(Form_Responses[[#This Row],[Q1.  Would you ever consider investing in gold?]]="Maybe",3, "")))</f>
        <v>1</v>
      </c>
      <c r="L26" s="4" t="s">
        <v>36</v>
      </c>
      <c r="M2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6" s="5"/>
      <c r="O26" s="5"/>
      <c r="P26" s="4" t="s">
        <v>121</v>
      </c>
      <c r="Q26" s="4" t="s">
        <v>38</v>
      </c>
      <c r="R2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26" s="5"/>
      <c r="T2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6" s="5"/>
      <c r="V26" s="5" t="str">
        <f>IF(Form_Responses[[#This Row],[Q2:   Are you interested in digital assets such as cryptocurrencies?  ]]="Yes",1, IF(Form_Responses[[#This Row],[Q2:   Are you interested in digital assets such as cryptocurrencies?  ]]="No",2,""))</f>
        <v/>
      </c>
      <c r="W26" s="5"/>
      <c r="X2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6" s="5"/>
      <c r="Z26" s="5"/>
      <c r="AA26" s="5"/>
      <c r="AB2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6" s="5"/>
      <c r="AD2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6" s="5"/>
      <c r="AF26" s="5"/>
      <c r="AG26" s="4" t="s">
        <v>39</v>
      </c>
      <c r="AH2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26" s="4">
        <v>5</v>
      </c>
      <c r="AJ26" s="4" t="s">
        <v>54</v>
      </c>
      <c r="AK2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26" s="4" t="s">
        <v>122</v>
      </c>
      <c r="AM26" s="5"/>
      <c r="AN26" s="5"/>
      <c r="AO2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26" s="5"/>
      <c r="AQ2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26" s="5"/>
      <c r="AS26" s="5"/>
      <c r="AT2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26" s="5"/>
      <c r="AV2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26" s="5"/>
      <c r="AX26" s="5"/>
    </row>
    <row r="27" spans="1:50" ht="22.5" customHeight="1" x14ac:dyDescent="0.2">
      <c r="A27" s="3">
        <v>46050.827532199073</v>
      </c>
      <c r="B27" s="4" t="s">
        <v>31</v>
      </c>
      <c r="C2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7" s="4" t="s">
        <v>32</v>
      </c>
      <c r="E27" s="5">
        <f>IF(Form_Responses[[#This Row],[Q1: What is your gender?]]="Male",1, IF(Form_Responses[[#This Row],[Q1: What is your gender?]]="Female",2,IF(Form_Responses[[#This Row],[Q1: What is your gender?]]="Prefer not to say", 3,"")))</f>
        <v>1</v>
      </c>
      <c r="F27" s="4" t="s">
        <v>33</v>
      </c>
      <c r="G27" s="5">
        <f>IF(Form_Responses[[#This Row],[Q2:  What is your nationality?  ]]="Bhutanese (living in Bhutan)",1, IF(Form_Responses[[#This Row],[Q2:  What is your nationality?  ]]="Bhutanese (living outside Bhutan)",2, IF(Form_Responses[[#This Row],[Q2:  What is your nationality?  ]]="International resident",3, "")))</f>
        <v>1</v>
      </c>
      <c r="H27" s="4" t="s">
        <v>34</v>
      </c>
      <c r="I2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7" s="4" t="s">
        <v>35</v>
      </c>
      <c r="K27" s="5">
        <f>IF(Form_Responses[[#This Row],[Q1.  Would you ever consider investing in gold?]]="Yes",1, IF(Form_Responses[[#This Row],[Q1.  Would you ever consider investing in gold?]]="No",2, IF(Form_Responses[[#This Row],[Q1.  Would you ever consider investing in gold?]]="Maybe",3, "")))</f>
        <v>1</v>
      </c>
      <c r="L27" s="4" t="s">
        <v>35</v>
      </c>
      <c r="M27"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27" s="4" t="s">
        <v>123</v>
      </c>
      <c r="O27" s="4">
        <v>4</v>
      </c>
      <c r="P27" s="5"/>
      <c r="Q27" s="4" t="s">
        <v>84</v>
      </c>
      <c r="R2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27" s="5"/>
      <c r="T2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7" s="5"/>
      <c r="V27" s="5" t="str">
        <f>IF(Form_Responses[[#This Row],[Q2:   Are you interested in digital assets such as cryptocurrencies?  ]]="Yes",1, IF(Form_Responses[[#This Row],[Q2:   Are you interested in digital assets such as cryptocurrencies?  ]]="No",2,""))</f>
        <v/>
      </c>
      <c r="W27" s="5"/>
      <c r="X2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7" s="5"/>
      <c r="Z27" s="5"/>
      <c r="AA27" s="5"/>
      <c r="AB2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7" s="5"/>
      <c r="AD2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7" s="5"/>
      <c r="AF27" s="5"/>
      <c r="AG27" s="4" t="s">
        <v>108</v>
      </c>
      <c r="AH2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27" s="5"/>
      <c r="AJ27" s="5"/>
      <c r="AK2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7" s="5"/>
      <c r="AM27" s="4">
        <v>4</v>
      </c>
      <c r="AN27" s="4" t="s">
        <v>105</v>
      </c>
      <c r="AO27"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27" s="4" t="s">
        <v>124</v>
      </c>
      <c r="AQ27"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4</v>
      </c>
      <c r="AR27" s="4">
        <v>5</v>
      </c>
      <c r="AS27" s="4" t="s">
        <v>87</v>
      </c>
      <c r="AT27"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27" s="4" t="s">
        <v>125</v>
      </c>
      <c r="AV27"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27" s="4">
        <v>5</v>
      </c>
      <c r="AX27" s="4" t="s">
        <v>36</v>
      </c>
    </row>
    <row r="28" spans="1:50" ht="22.5" customHeight="1" x14ac:dyDescent="0.2">
      <c r="A28" s="3">
        <v>46050.829274108793</v>
      </c>
      <c r="B28" s="4" t="s">
        <v>31</v>
      </c>
      <c r="C2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8" s="4" t="s">
        <v>63</v>
      </c>
      <c r="E28" s="5">
        <f>IF(Form_Responses[[#This Row],[Q1: What is your gender?]]="Male",1, IF(Form_Responses[[#This Row],[Q1: What is your gender?]]="Female",2,IF(Form_Responses[[#This Row],[Q1: What is your gender?]]="Prefer not to say", 3,"")))</f>
        <v>2</v>
      </c>
      <c r="F28" s="4" t="s">
        <v>33</v>
      </c>
      <c r="G28" s="5">
        <f>IF(Form_Responses[[#This Row],[Q2:  What is your nationality?  ]]="Bhutanese (living in Bhutan)",1, IF(Form_Responses[[#This Row],[Q2:  What is your nationality?  ]]="Bhutanese (living outside Bhutan)",2, IF(Form_Responses[[#This Row],[Q2:  What is your nationality?  ]]="International resident",3, "")))</f>
        <v>1</v>
      </c>
      <c r="H28" s="4" t="s">
        <v>34</v>
      </c>
      <c r="I2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8" s="4" t="s">
        <v>35</v>
      </c>
      <c r="K28" s="5">
        <f>IF(Form_Responses[[#This Row],[Q1.  Would you ever consider investing in gold?]]="Yes",1, IF(Form_Responses[[#This Row],[Q1.  Would you ever consider investing in gold?]]="No",2, IF(Form_Responses[[#This Row],[Q1.  Would you ever consider investing in gold?]]="Maybe",3, "")))</f>
        <v>1</v>
      </c>
      <c r="L28" s="4" t="s">
        <v>36</v>
      </c>
      <c r="M2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28" s="5"/>
      <c r="O28" s="5"/>
      <c r="P28" s="4" t="s">
        <v>126</v>
      </c>
      <c r="Q28" s="4" t="s">
        <v>80</v>
      </c>
      <c r="R2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28" s="4" t="s">
        <v>35</v>
      </c>
      <c r="T28"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28" s="4" t="s">
        <v>35</v>
      </c>
      <c r="V28" s="5">
        <f>IF(Form_Responses[[#This Row],[Q2:   Are you interested in digital assets such as cryptocurrencies?  ]]="Yes",1, IF(Form_Responses[[#This Row],[Q2:   Are you interested in digital assets such as cryptocurrencies?  ]]="No",2,""))</f>
        <v>1</v>
      </c>
      <c r="W28" s="5"/>
      <c r="X2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8" s="5"/>
      <c r="Z28" s="4" t="s">
        <v>127</v>
      </c>
      <c r="AA28" s="4" t="s">
        <v>35</v>
      </c>
      <c r="AB28"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28" s="4" t="s">
        <v>82</v>
      </c>
      <c r="AD28"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5</v>
      </c>
      <c r="AE28" s="4" t="s">
        <v>128</v>
      </c>
      <c r="AF28" s="5"/>
      <c r="AG28" s="5"/>
      <c r="AH28"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28" s="5"/>
      <c r="AJ28" s="5"/>
      <c r="AK2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8" s="5"/>
      <c r="AM28" s="5"/>
      <c r="AN28" s="5"/>
      <c r="AO2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28" s="5"/>
      <c r="AQ2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28" s="5"/>
      <c r="AS28" s="5"/>
      <c r="AT2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28" s="5"/>
      <c r="AV2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28" s="5"/>
      <c r="AX28" s="5"/>
    </row>
    <row r="29" spans="1:50" ht="22.5" customHeight="1" x14ac:dyDescent="0.2">
      <c r="A29" s="3">
        <v>46050.835963831021</v>
      </c>
      <c r="B29" s="4" t="s">
        <v>31</v>
      </c>
      <c r="C2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29" s="4" t="s">
        <v>63</v>
      </c>
      <c r="E29" s="5">
        <f>IF(Form_Responses[[#This Row],[Q1: What is your gender?]]="Male",1, IF(Form_Responses[[#This Row],[Q1: What is your gender?]]="Female",2,IF(Form_Responses[[#This Row],[Q1: What is your gender?]]="Prefer not to say", 3,"")))</f>
        <v>2</v>
      </c>
      <c r="F29" s="4" t="s">
        <v>33</v>
      </c>
      <c r="G29" s="5">
        <f>IF(Form_Responses[[#This Row],[Q2:  What is your nationality?  ]]="Bhutanese (living in Bhutan)",1, IF(Form_Responses[[#This Row],[Q2:  What is your nationality?  ]]="Bhutanese (living outside Bhutan)",2, IF(Form_Responses[[#This Row],[Q2:  What is your nationality?  ]]="International resident",3, "")))</f>
        <v>1</v>
      </c>
      <c r="H29" s="4" t="s">
        <v>34</v>
      </c>
      <c r="I2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29" s="4" t="s">
        <v>35</v>
      </c>
      <c r="K29" s="5">
        <f>IF(Form_Responses[[#This Row],[Q1.  Would you ever consider investing in gold?]]="Yes",1, IF(Form_Responses[[#This Row],[Q1.  Would you ever consider investing in gold?]]="No",2, IF(Form_Responses[[#This Row],[Q1.  Would you ever consider investing in gold?]]="Maybe",3, "")))</f>
        <v>1</v>
      </c>
      <c r="L29" s="4" t="s">
        <v>35</v>
      </c>
      <c r="M29"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29" s="4" t="s">
        <v>123</v>
      </c>
      <c r="O29" s="4">
        <v>4</v>
      </c>
      <c r="P29" s="5"/>
      <c r="Q29" s="4" t="s">
        <v>38</v>
      </c>
      <c r="R2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29" s="5"/>
      <c r="T2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29" s="5"/>
      <c r="V29" s="5" t="str">
        <f>IF(Form_Responses[[#This Row],[Q2:   Are you interested in digital assets such as cryptocurrencies?  ]]="Yes",1, IF(Form_Responses[[#This Row],[Q2:   Are you interested in digital assets such as cryptocurrencies?  ]]="No",2,""))</f>
        <v/>
      </c>
      <c r="W29" s="5"/>
      <c r="X2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29" s="5"/>
      <c r="Z29" s="5"/>
      <c r="AA29" s="5"/>
      <c r="AB2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29" s="5"/>
      <c r="AD2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29" s="5"/>
      <c r="AF29" s="5"/>
      <c r="AG29" s="4" t="s">
        <v>43</v>
      </c>
      <c r="AH2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29" s="5"/>
      <c r="AJ29" s="5"/>
      <c r="AK2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29" s="5"/>
      <c r="AM29" s="4">
        <v>4</v>
      </c>
      <c r="AN29" s="4" t="s">
        <v>129</v>
      </c>
      <c r="AO29"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10</v>
      </c>
      <c r="AP29" s="4" t="s">
        <v>130</v>
      </c>
      <c r="AQ29"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v>
      </c>
      <c r="AR29" s="4">
        <v>4</v>
      </c>
      <c r="AS29" s="4" t="s">
        <v>87</v>
      </c>
      <c r="AT29"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29" s="4" t="s">
        <v>47</v>
      </c>
      <c r="AV29"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29" s="4">
        <v>4</v>
      </c>
      <c r="AX29" s="4" t="s">
        <v>131</v>
      </c>
    </row>
    <row r="30" spans="1:50" ht="22.5" customHeight="1" x14ac:dyDescent="0.2">
      <c r="A30" s="3">
        <v>46050.83686487269</v>
      </c>
      <c r="B30" s="4" t="s">
        <v>31</v>
      </c>
      <c r="C3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0" s="4" t="s">
        <v>32</v>
      </c>
      <c r="E30" s="5">
        <f>IF(Form_Responses[[#This Row],[Q1: What is your gender?]]="Male",1, IF(Form_Responses[[#This Row],[Q1: What is your gender?]]="Female",2,IF(Form_Responses[[#This Row],[Q1: What is your gender?]]="Prefer not to say", 3,"")))</f>
        <v>1</v>
      </c>
      <c r="F30" s="4" t="s">
        <v>33</v>
      </c>
      <c r="G30" s="5">
        <f>IF(Form_Responses[[#This Row],[Q2:  What is your nationality?  ]]="Bhutanese (living in Bhutan)",1, IF(Form_Responses[[#This Row],[Q2:  What is your nationality?  ]]="Bhutanese (living outside Bhutan)",2, IF(Form_Responses[[#This Row],[Q2:  What is your nationality?  ]]="International resident",3, "")))</f>
        <v>1</v>
      </c>
      <c r="H30" s="4" t="s">
        <v>52</v>
      </c>
      <c r="I3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30" s="4" t="s">
        <v>35</v>
      </c>
      <c r="K30" s="5">
        <f>IF(Form_Responses[[#This Row],[Q1.  Would you ever consider investing in gold?]]="Yes",1, IF(Form_Responses[[#This Row],[Q1.  Would you ever consider investing in gold?]]="No",2, IF(Form_Responses[[#This Row],[Q1.  Would you ever consider investing in gold?]]="Maybe",3, "")))</f>
        <v>1</v>
      </c>
      <c r="L30" s="4" t="s">
        <v>36</v>
      </c>
      <c r="M3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0" s="5"/>
      <c r="O30" s="5"/>
      <c r="P30" s="4" t="s">
        <v>132</v>
      </c>
      <c r="Q30" s="4" t="s">
        <v>38</v>
      </c>
      <c r="R3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0" s="5"/>
      <c r="T30"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0" s="5"/>
      <c r="V30" s="5" t="str">
        <f>IF(Form_Responses[[#This Row],[Q2:   Are you interested in digital assets such as cryptocurrencies?  ]]="Yes",1, IF(Form_Responses[[#This Row],[Q2:   Are you interested in digital assets such as cryptocurrencies?  ]]="No",2,""))</f>
        <v/>
      </c>
      <c r="W30" s="5"/>
      <c r="X3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0" s="5"/>
      <c r="Z30" s="5"/>
      <c r="AA30" s="5"/>
      <c r="AB30"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0" s="5"/>
      <c r="AD30"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0" s="5"/>
      <c r="AF30" s="5"/>
      <c r="AG30" s="4" t="s">
        <v>39</v>
      </c>
      <c r="AH30"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0" s="4">
        <v>3</v>
      </c>
      <c r="AJ30" s="4" t="s">
        <v>58</v>
      </c>
      <c r="AK30"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30" s="4" t="s">
        <v>133</v>
      </c>
      <c r="AM30" s="5"/>
      <c r="AN30" s="5"/>
      <c r="AO3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0" s="5"/>
      <c r="AQ3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0" s="5"/>
      <c r="AS30" s="5"/>
      <c r="AT3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0" s="5"/>
      <c r="AV3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0" s="5"/>
      <c r="AX30" s="5"/>
    </row>
    <row r="31" spans="1:50" ht="22.5" customHeight="1" x14ac:dyDescent="0.2">
      <c r="A31" s="3">
        <v>46050.836885439814</v>
      </c>
      <c r="B31" s="4" t="s">
        <v>31</v>
      </c>
      <c r="C3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1" s="4" t="s">
        <v>32</v>
      </c>
      <c r="E31" s="5">
        <f>IF(Form_Responses[[#This Row],[Q1: What is your gender?]]="Male",1, IF(Form_Responses[[#This Row],[Q1: What is your gender?]]="Female",2,IF(Form_Responses[[#This Row],[Q1: What is your gender?]]="Prefer not to say", 3,"")))</f>
        <v>1</v>
      </c>
      <c r="F31" s="4" t="s">
        <v>33</v>
      </c>
      <c r="G31" s="5">
        <f>IF(Form_Responses[[#This Row],[Q2:  What is your nationality?  ]]="Bhutanese (living in Bhutan)",1, IF(Form_Responses[[#This Row],[Q2:  What is your nationality?  ]]="Bhutanese (living outside Bhutan)",2, IF(Form_Responses[[#This Row],[Q2:  What is your nationality?  ]]="International resident",3, "")))</f>
        <v>1</v>
      </c>
      <c r="H31" s="4" t="s">
        <v>56</v>
      </c>
      <c r="I3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31" s="4" t="s">
        <v>35</v>
      </c>
      <c r="K31" s="5">
        <f>IF(Form_Responses[[#This Row],[Q1.  Would you ever consider investing in gold?]]="Yes",1, IF(Form_Responses[[#This Row],[Q1.  Would you ever consider investing in gold?]]="No",2, IF(Form_Responses[[#This Row],[Q1.  Would you ever consider investing in gold?]]="Maybe",3, "")))</f>
        <v>1</v>
      </c>
      <c r="L31" s="4" t="s">
        <v>36</v>
      </c>
      <c r="M3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1" s="5"/>
      <c r="O31" s="5"/>
      <c r="P31" s="4" t="s">
        <v>134</v>
      </c>
      <c r="Q31" s="4" t="s">
        <v>38</v>
      </c>
      <c r="R3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1" s="5"/>
      <c r="T3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1" s="5"/>
      <c r="V31" s="5" t="str">
        <f>IF(Form_Responses[[#This Row],[Q2:   Are you interested in digital assets such as cryptocurrencies?  ]]="Yes",1, IF(Form_Responses[[#This Row],[Q2:   Are you interested in digital assets such as cryptocurrencies?  ]]="No",2,""))</f>
        <v/>
      </c>
      <c r="W31" s="5"/>
      <c r="X3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1" s="5"/>
      <c r="Z31" s="5"/>
      <c r="AA31" s="5"/>
      <c r="AB3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1" s="5"/>
      <c r="AD3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1" s="5"/>
      <c r="AF31" s="5"/>
      <c r="AG31" s="4" t="s">
        <v>39</v>
      </c>
      <c r="AH3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1" s="4">
        <v>3</v>
      </c>
      <c r="AJ31" s="4" t="s">
        <v>58</v>
      </c>
      <c r="AK31"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31" s="4" t="s">
        <v>135</v>
      </c>
      <c r="AM31" s="5"/>
      <c r="AN31" s="5"/>
      <c r="AO3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1" s="5"/>
      <c r="AQ3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1" s="5"/>
      <c r="AS31" s="5"/>
      <c r="AT3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1" s="5"/>
      <c r="AV3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1" s="5"/>
      <c r="AX31" s="5"/>
    </row>
    <row r="32" spans="1:50" ht="22.5" customHeight="1" x14ac:dyDescent="0.2">
      <c r="A32" s="3">
        <v>46050.84109563657</v>
      </c>
      <c r="B32" s="4" t="s">
        <v>31</v>
      </c>
      <c r="C3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2" s="4" t="s">
        <v>63</v>
      </c>
      <c r="E32" s="5">
        <f>IF(Form_Responses[[#This Row],[Q1: What is your gender?]]="Male",1, IF(Form_Responses[[#This Row],[Q1: What is your gender?]]="Female",2,IF(Form_Responses[[#This Row],[Q1: What is your gender?]]="Prefer not to say", 3,"")))</f>
        <v>2</v>
      </c>
      <c r="F32" s="4" t="s">
        <v>33</v>
      </c>
      <c r="G32" s="5">
        <f>IF(Form_Responses[[#This Row],[Q2:  What is your nationality?  ]]="Bhutanese (living in Bhutan)",1, IF(Form_Responses[[#This Row],[Q2:  What is your nationality?  ]]="Bhutanese (living outside Bhutan)",2, IF(Form_Responses[[#This Row],[Q2:  What is your nationality?  ]]="International resident",3, "")))</f>
        <v>1</v>
      </c>
      <c r="H32" s="4" t="s">
        <v>56</v>
      </c>
      <c r="I3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32" s="4" t="s">
        <v>60</v>
      </c>
      <c r="K32" s="5">
        <f>IF(Form_Responses[[#This Row],[Q1.  Would you ever consider investing in gold?]]="Yes",1, IF(Form_Responses[[#This Row],[Q1.  Would you ever consider investing in gold?]]="No",2, IF(Form_Responses[[#This Row],[Q1.  Would you ever consider investing in gold?]]="Maybe",3, "")))</f>
        <v>3</v>
      </c>
      <c r="L32" s="4" t="s">
        <v>36</v>
      </c>
      <c r="M3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2" s="5"/>
      <c r="O32" s="5"/>
      <c r="P32" s="4" t="s">
        <v>136</v>
      </c>
      <c r="Q32" s="4" t="s">
        <v>38</v>
      </c>
      <c r="R3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2" s="5"/>
      <c r="T3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2" s="5"/>
      <c r="V32" s="5" t="str">
        <f>IF(Form_Responses[[#This Row],[Q2:   Are you interested in digital assets such as cryptocurrencies?  ]]="Yes",1, IF(Form_Responses[[#This Row],[Q2:   Are you interested in digital assets such as cryptocurrencies?  ]]="No",2,""))</f>
        <v/>
      </c>
      <c r="W32" s="5"/>
      <c r="X3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2" s="5"/>
      <c r="Z32" s="5"/>
      <c r="AA32" s="5"/>
      <c r="AB3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2" s="5"/>
      <c r="AD3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2" s="5"/>
      <c r="AF32" s="5"/>
      <c r="AG32" s="4" t="s">
        <v>39</v>
      </c>
      <c r="AH3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2" s="4">
        <v>5</v>
      </c>
      <c r="AJ32" s="4" t="s">
        <v>54</v>
      </c>
      <c r="AK3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32" s="4" t="s">
        <v>137</v>
      </c>
      <c r="AM32" s="5"/>
      <c r="AN32" s="5"/>
      <c r="AO3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2" s="5"/>
      <c r="AQ3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2" s="5"/>
      <c r="AS32" s="5"/>
      <c r="AT3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2" s="5"/>
      <c r="AV3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2" s="5"/>
      <c r="AX32" s="5"/>
    </row>
    <row r="33" spans="1:50" ht="22.5" customHeight="1" x14ac:dyDescent="0.2">
      <c r="A33" s="3">
        <v>46050.841271064812</v>
      </c>
      <c r="B33" s="4" t="s">
        <v>31</v>
      </c>
      <c r="C3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3" s="4" t="s">
        <v>63</v>
      </c>
      <c r="E33" s="5">
        <f>IF(Form_Responses[[#This Row],[Q1: What is your gender?]]="Male",1, IF(Form_Responses[[#This Row],[Q1: What is your gender?]]="Female",2,IF(Form_Responses[[#This Row],[Q1: What is your gender?]]="Prefer not to say", 3,"")))</f>
        <v>2</v>
      </c>
      <c r="F33" s="4" t="s">
        <v>33</v>
      </c>
      <c r="G33" s="5">
        <f>IF(Form_Responses[[#This Row],[Q2:  What is your nationality?  ]]="Bhutanese (living in Bhutan)",1, IF(Form_Responses[[#This Row],[Q2:  What is your nationality?  ]]="Bhutanese (living outside Bhutan)",2, IF(Form_Responses[[#This Row],[Q2:  What is your nationality?  ]]="International resident",3, "")))</f>
        <v>1</v>
      </c>
      <c r="H33" s="4" t="s">
        <v>34</v>
      </c>
      <c r="I3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33" s="4" t="s">
        <v>36</v>
      </c>
      <c r="K33" s="5">
        <f>IF(Form_Responses[[#This Row],[Q1.  Would you ever consider investing in gold?]]="Yes",1, IF(Form_Responses[[#This Row],[Q1.  Would you ever consider investing in gold?]]="No",2, IF(Form_Responses[[#This Row],[Q1.  Would you ever consider investing in gold?]]="Maybe",3, "")))</f>
        <v>2</v>
      </c>
      <c r="L33" s="4" t="s">
        <v>35</v>
      </c>
      <c r="M33"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33" s="4" t="s">
        <v>74</v>
      </c>
      <c r="O33" s="4">
        <v>3</v>
      </c>
      <c r="P33" s="5"/>
      <c r="Q33" s="4" t="s">
        <v>84</v>
      </c>
      <c r="R3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33" s="5"/>
      <c r="T3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3" s="5"/>
      <c r="V33" s="5" t="str">
        <f>IF(Form_Responses[[#This Row],[Q2:   Are you interested in digital assets such as cryptocurrencies?  ]]="Yes",1, IF(Form_Responses[[#This Row],[Q2:   Are you interested in digital assets such as cryptocurrencies?  ]]="No",2,""))</f>
        <v/>
      </c>
      <c r="W33" s="5"/>
      <c r="X3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3" s="5"/>
      <c r="Z33" s="5"/>
      <c r="AA33" s="5"/>
      <c r="AB3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3" s="5"/>
      <c r="AD3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3" s="5"/>
      <c r="AF33" s="5"/>
      <c r="AG33" s="4" t="s">
        <v>43</v>
      </c>
      <c r="AH3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33" s="5"/>
      <c r="AJ33" s="5"/>
      <c r="AK3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33" s="5"/>
      <c r="AM33" s="4">
        <v>4</v>
      </c>
      <c r="AN33" s="4" t="s">
        <v>138</v>
      </c>
      <c r="AO33"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11</v>
      </c>
      <c r="AP33" s="4" t="s">
        <v>124</v>
      </c>
      <c r="AQ33"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4</v>
      </c>
      <c r="AR33" s="4">
        <v>3</v>
      </c>
      <c r="AS33" s="4" t="s">
        <v>87</v>
      </c>
      <c r="AT33"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33" s="4" t="s">
        <v>68</v>
      </c>
      <c r="AV33"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33" s="4">
        <v>3</v>
      </c>
      <c r="AX33" s="4" t="s">
        <v>139</v>
      </c>
    </row>
    <row r="34" spans="1:50" ht="22.5" customHeight="1" x14ac:dyDescent="0.2">
      <c r="A34" s="3">
        <v>46050.841524293981</v>
      </c>
      <c r="B34" s="4" t="s">
        <v>31</v>
      </c>
      <c r="C3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4" s="4" t="s">
        <v>32</v>
      </c>
      <c r="E34" s="5">
        <f>IF(Form_Responses[[#This Row],[Q1: What is your gender?]]="Male",1, IF(Form_Responses[[#This Row],[Q1: What is your gender?]]="Female",2,IF(Form_Responses[[#This Row],[Q1: What is your gender?]]="Prefer not to say", 3,"")))</f>
        <v>1</v>
      </c>
      <c r="F34" s="4" t="s">
        <v>33</v>
      </c>
      <c r="G34" s="5">
        <f>IF(Form_Responses[[#This Row],[Q2:  What is your nationality?  ]]="Bhutanese (living in Bhutan)",1, IF(Form_Responses[[#This Row],[Q2:  What is your nationality?  ]]="Bhutanese (living outside Bhutan)",2, IF(Form_Responses[[#This Row],[Q2:  What is your nationality?  ]]="International resident",3, "")))</f>
        <v>1</v>
      </c>
      <c r="H34" s="4" t="s">
        <v>56</v>
      </c>
      <c r="I3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34" s="4" t="s">
        <v>35</v>
      </c>
      <c r="K34" s="5">
        <f>IF(Form_Responses[[#This Row],[Q1.  Would you ever consider investing in gold?]]="Yes",1, IF(Form_Responses[[#This Row],[Q1.  Would you ever consider investing in gold?]]="No",2, IF(Form_Responses[[#This Row],[Q1.  Would you ever consider investing in gold?]]="Maybe",3, "")))</f>
        <v>1</v>
      </c>
      <c r="L34" s="4" t="s">
        <v>35</v>
      </c>
      <c r="M34"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34" s="4" t="s">
        <v>140</v>
      </c>
      <c r="O34" s="4">
        <v>3</v>
      </c>
      <c r="P34" s="5"/>
      <c r="Q34" s="4" t="s">
        <v>38</v>
      </c>
      <c r="R3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4" s="5"/>
      <c r="T3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4" s="5"/>
      <c r="V34" s="5" t="str">
        <f>IF(Form_Responses[[#This Row],[Q2:   Are you interested in digital assets such as cryptocurrencies?  ]]="Yes",1, IF(Form_Responses[[#This Row],[Q2:   Are you interested in digital assets such as cryptocurrencies?  ]]="No",2,""))</f>
        <v/>
      </c>
      <c r="W34" s="5"/>
      <c r="X3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4" s="5"/>
      <c r="Z34" s="5"/>
      <c r="AA34" s="5"/>
      <c r="AB3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4" s="5"/>
      <c r="AD3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4" s="5"/>
      <c r="AF34" s="5"/>
      <c r="AG34" s="4" t="s">
        <v>39</v>
      </c>
      <c r="AH3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4" s="4">
        <v>4</v>
      </c>
      <c r="AJ34" s="4" t="s">
        <v>54</v>
      </c>
      <c r="AK34"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34" s="4" t="s">
        <v>141</v>
      </c>
      <c r="AM34" s="5"/>
      <c r="AN34" s="5"/>
      <c r="AO3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4" s="5"/>
      <c r="AQ3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4" s="5"/>
      <c r="AS34" s="5"/>
      <c r="AT3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4" s="5"/>
      <c r="AV3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4" s="5"/>
      <c r="AX34" s="5"/>
    </row>
    <row r="35" spans="1:50" ht="22.5" customHeight="1" x14ac:dyDescent="0.2">
      <c r="A35" s="3">
        <v>46050.843702013888</v>
      </c>
      <c r="B35" s="4" t="s">
        <v>31</v>
      </c>
      <c r="C3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5" s="4" t="s">
        <v>63</v>
      </c>
      <c r="E35" s="5">
        <f>IF(Form_Responses[[#This Row],[Q1: What is your gender?]]="Male",1, IF(Form_Responses[[#This Row],[Q1: What is your gender?]]="Female",2,IF(Form_Responses[[#This Row],[Q1: What is your gender?]]="Prefer not to say", 3,"")))</f>
        <v>2</v>
      </c>
      <c r="F35" s="4" t="s">
        <v>33</v>
      </c>
      <c r="G35" s="5">
        <f>IF(Form_Responses[[#This Row],[Q2:  What is your nationality?  ]]="Bhutanese (living in Bhutan)",1, IF(Form_Responses[[#This Row],[Q2:  What is your nationality?  ]]="Bhutanese (living outside Bhutan)",2, IF(Form_Responses[[#This Row],[Q2:  What is your nationality?  ]]="International resident",3, "")))</f>
        <v>1</v>
      </c>
      <c r="H35" s="4" t="s">
        <v>34</v>
      </c>
      <c r="I3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35" s="4" t="s">
        <v>35</v>
      </c>
      <c r="K35" s="5">
        <f>IF(Form_Responses[[#This Row],[Q1.  Would you ever consider investing in gold?]]="Yes",1, IF(Form_Responses[[#This Row],[Q1.  Would you ever consider investing in gold?]]="No",2, IF(Form_Responses[[#This Row],[Q1.  Would you ever consider investing in gold?]]="Maybe",3, "")))</f>
        <v>1</v>
      </c>
      <c r="L35" s="4" t="s">
        <v>35</v>
      </c>
      <c r="M35"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35" s="4" t="s">
        <v>53</v>
      </c>
      <c r="O35" s="4">
        <v>4</v>
      </c>
      <c r="P35" s="5"/>
      <c r="Q35" s="4" t="s">
        <v>84</v>
      </c>
      <c r="R3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35" s="5"/>
      <c r="T3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5" s="5"/>
      <c r="V35" s="5" t="str">
        <f>IF(Form_Responses[[#This Row],[Q2:   Are you interested in digital assets such as cryptocurrencies?  ]]="Yes",1, IF(Form_Responses[[#This Row],[Q2:   Are you interested in digital assets such as cryptocurrencies?  ]]="No",2,""))</f>
        <v/>
      </c>
      <c r="W35" s="5"/>
      <c r="X3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5" s="5"/>
      <c r="Z35" s="5"/>
      <c r="AA35" s="5"/>
      <c r="AB3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5" s="5"/>
      <c r="AD3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5" s="5"/>
      <c r="AF35" s="5"/>
      <c r="AG35" s="4" t="s">
        <v>43</v>
      </c>
      <c r="AH3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35" s="5"/>
      <c r="AJ35" s="5"/>
      <c r="AK3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35" s="5"/>
      <c r="AM35" s="4">
        <v>4</v>
      </c>
      <c r="AN35" s="4" t="s">
        <v>142</v>
      </c>
      <c r="AO35"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12</v>
      </c>
      <c r="AP35" s="4" t="s">
        <v>143</v>
      </c>
      <c r="AQ35"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9</v>
      </c>
      <c r="AR35" s="4">
        <v>3</v>
      </c>
      <c r="AS35" s="4" t="s">
        <v>87</v>
      </c>
      <c r="AT35"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35" s="4" t="s">
        <v>125</v>
      </c>
      <c r="AV35"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35" s="4">
        <v>5</v>
      </c>
      <c r="AX35" s="4" t="s">
        <v>144</v>
      </c>
    </row>
    <row r="36" spans="1:50" ht="22.5" customHeight="1" x14ac:dyDescent="0.2">
      <c r="A36" s="3">
        <v>46050.845948159724</v>
      </c>
      <c r="B36" s="4" t="s">
        <v>145</v>
      </c>
      <c r="C3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36" s="4" t="s">
        <v>63</v>
      </c>
      <c r="E36" s="5">
        <f>IF(Form_Responses[[#This Row],[Q1: What is your gender?]]="Male",1, IF(Form_Responses[[#This Row],[Q1: What is your gender?]]="Female",2,IF(Form_Responses[[#This Row],[Q1: What is your gender?]]="Prefer not to say", 3,"")))</f>
        <v>2</v>
      </c>
      <c r="F36" s="4" t="s">
        <v>33</v>
      </c>
      <c r="G36" s="5">
        <f>IF(Form_Responses[[#This Row],[Q2:  What is your nationality?  ]]="Bhutanese (living in Bhutan)",1, IF(Form_Responses[[#This Row],[Q2:  What is your nationality?  ]]="Bhutanese (living outside Bhutan)",2, IF(Form_Responses[[#This Row],[Q2:  What is your nationality?  ]]="International resident",3, "")))</f>
        <v>1</v>
      </c>
      <c r="H36" s="4" t="s">
        <v>56</v>
      </c>
      <c r="I3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36" s="4" t="s">
        <v>36</v>
      </c>
      <c r="K36" s="5">
        <f>IF(Form_Responses[[#This Row],[Q1.  Would you ever consider investing in gold?]]="Yes",1, IF(Form_Responses[[#This Row],[Q1.  Would you ever consider investing in gold?]]="No",2, IF(Form_Responses[[#This Row],[Q1.  Would you ever consider investing in gold?]]="Maybe",3, "")))</f>
        <v>2</v>
      </c>
      <c r="L36" s="4" t="s">
        <v>36</v>
      </c>
      <c r="M3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6" s="5"/>
      <c r="O36" s="5"/>
      <c r="P36" s="4" t="s">
        <v>146</v>
      </c>
      <c r="Q36" s="4" t="s">
        <v>38</v>
      </c>
      <c r="R3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6" s="5"/>
      <c r="T3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6" s="5"/>
      <c r="V36" s="5" t="str">
        <f>IF(Form_Responses[[#This Row],[Q2:   Are you interested in digital assets such as cryptocurrencies?  ]]="Yes",1, IF(Form_Responses[[#This Row],[Q2:   Are you interested in digital assets such as cryptocurrencies?  ]]="No",2,""))</f>
        <v/>
      </c>
      <c r="W36" s="5"/>
      <c r="X3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6" s="5"/>
      <c r="Z36" s="5"/>
      <c r="AA36" s="5"/>
      <c r="AB3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6" s="5"/>
      <c r="AD3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6" s="5"/>
      <c r="AF36" s="5"/>
      <c r="AG36" s="4" t="s">
        <v>39</v>
      </c>
      <c r="AH3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6" s="4">
        <v>3</v>
      </c>
      <c r="AJ36" s="4" t="s">
        <v>58</v>
      </c>
      <c r="AK3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36" s="4" t="s">
        <v>147</v>
      </c>
      <c r="AM36" s="5"/>
      <c r="AN36" s="5"/>
      <c r="AO3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6" s="5"/>
      <c r="AQ3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6" s="5"/>
      <c r="AS36" s="5"/>
      <c r="AT3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6" s="5"/>
      <c r="AV3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6" s="5"/>
      <c r="AX36" s="5"/>
    </row>
    <row r="37" spans="1:50" ht="22.5" customHeight="1" x14ac:dyDescent="0.2">
      <c r="A37" s="3">
        <v>46050.847917372681</v>
      </c>
      <c r="B37" s="4" t="s">
        <v>145</v>
      </c>
      <c r="C3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37" s="4" t="s">
        <v>32</v>
      </c>
      <c r="E37" s="5">
        <f>IF(Form_Responses[[#This Row],[Q1: What is your gender?]]="Male",1, IF(Form_Responses[[#This Row],[Q1: What is your gender?]]="Female",2,IF(Form_Responses[[#This Row],[Q1: What is your gender?]]="Prefer not to say", 3,"")))</f>
        <v>1</v>
      </c>
      <c r="F37" s="4" t="s">
        <v>33</v>
      </c>
      <c r="G37" s="5">
        <f>IF(Form_Responses[[#This Row],[Q2:  What is your nationality?  ]]="Bhutanese (living in Bhutan)",1, IF(Form_Responses[[#This Row],[Q2:  What is your nationality?  ]]="Bhutanese (living outside Bhutan)",2, IF(Form_Responses[[#This Row],[Q2:  What is your nationality?  ]]="International resident",3, "")))</f>
        <v>1</v>
      </c>
      <c r="H37" s="4" t="s">
        <v>56</v>
      </c>
      <c r="I3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37" s="4" t="s">
        <v>36</v>
      </c>
      <c r="K37" s="5">
        <f>IF(Form_Responses[[#This Row],[Q1.  Would you ever consider investing in gold?]]="Yes",1, IF(Form_Responses[[#This Row],[Q1.  Would you ever consider investing in gold?]]="No",2, IF(Form_Responses[[#This Row],[Q1.  Would you ever consider investing in gold?]]="Maybe",3, "")))</f>
        <v>2</v>
      </c>
      <c r="L37" s="4" t="s">
        <v>36</v>
      </c>
      <c r="M3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7" s="5"/>
      <c r="O37" s="5"/>
      <c r="P37" s="4" t="s">
        <v>146</v>
      </c>
      <c r="Q37" s="4" t="s">
        <v>38</v>
      </c>
      <c r="R3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7" s="5"/>
      <c r="T3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7" s="5"/>
      <c r="V37" s="5" t="str">
        <f>IF(Form_Responses[[#This Row],[Q2:   Are you interested in digital assets such as cryptocurrencies?  ]]="Yes",1, IF(Form_Responses[[#This Row],[Q2:   Are you interested in digital assets such as cryptocurrencies?  ]]="No",2,""))</f>
        <v/>
      </c>
      <c r="W37" s="5"/>
      <c r="X3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7" s="5"/>
      <c r="Z37" s="5"/>
      <c r="AA37" s="5"/>
      <c r="AB3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7" s="5"/>
      <c r="AD3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7" s="5"/>
      <c r="AF37" s="5"/>
      <c r="AG37" s="4" t="s">
        <v>39</v>
      </c>
      <c r="AH3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7" s="4">
        <v>2</v>
      </c>
      <c r="AJ37" s="4" t="s">
        <v>58</v>
      </c>
      <c r="AK37"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37" s="4" t="s">
        <v>148</v>
      </c>
      <c r="AM37" s="5"/>
      <c r="AN37" s="5"/>
      <c r="AO3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7" s="5"/>
      <c r="AQ3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7" s="5"/>
      <c r="AS37" s="5"/>
      <c r="AT3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7" s="5"/>
      <c r="AV3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7" s="5"/>
      <c r="AX37" s="5"/>
    </row>
    <row r="38" spans="1:50" ht="22.5" customHeight="1" x14ac:dyDescent="0.2">
      <c r="A38" s="3">
        <v>46050.849194444439</v>
      </c>
      <c r="B38" s="4" t="s">
        <v>31</v>
      </c>
      <c r="C3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38" s="4" t="s">
        <v>63</v>
      </c>
      <c r="E38" s="5">
        <f>IF(Form_Responses[[#This Row],[Q1: What is your gender?]]="Male",1, IF(Form_Responses[[#This Row],[Q1: What is your gender?]]="Female",2,IF(Form_Responses[[#This Row],[Q1: What is your gender?]]="Prefer not to say", 3,"")))</f>
        <v>2</v>
      </c>
      <c r="F38" s="4" t="s">
        <v>33</v>
      </c>
      <c r="G38" s="5">
        <f>IF(Form_Responses[[#This Row],[Q2:  What is your nationality?  ]]="Bhutanese (living in Bhutan)",1, IF(Form_Responses[[#This Row],[Q2:  What is your nationality?  ]]="Bhutanese (living outside Bhutan)",2, IF(Form_Responses[[#This Row],[Q2:  What is your nationality?  ]]="International resident",3, "")))</f>
        <v>1</v>
      </c>
      <c r="H38" s="4" t="s">
        <v>34</v>
      </c>
      <c r="I3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38" s="4" t="s">
        <v>35</v>
      </c>
      <c r="K38" s="5">
        <f>IF(Form_Responses[[#This Row],[Q1.  Would you ever consider investing in gold?]]="Yes",1, IF(Form_Responses[[#This Row],[Q1.  Would you ever consider investing in gold?]]="No",2, IF(Form_Responses[[#This Row],[Q1.  Would you ever consider investing in gold?]]="Maybe",3, "")))</f>
        <v>1</v>
      </c>
      <c r="L38" s="4" t="s">
        <v>36</v>
      </c>
      <c r="M3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8" s="5"/>
      <c r="O38" s="5"/>
      <c r="P38" s="4" t="s">
        <v>149</v>
      </c>
      <c r="Q38" s="4" t="s">
        <v>38</v>
      </c>
      <c r="R3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8" s="5"/>
      <c r="T3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8" s="5"/>
      <c r="V38" s="5" t="str">
        <f>IF(Form_Responses[[#This Row],[Q2:   Are you interested in digital assets such as cryptocurrencies?  ]]="Yes",1, IF(Form_Responses[[#This Row],[Q2:   Are you interested in digital assets such as cryptocurrencies?  ]]="No",2,""))</f>
        <v/>
      </c>
      <c r="W38" s="5"/>
      <c r="X3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8" s="5"/>
      <c r="Z38" s="5"/>
      <c r="AA38" s="5"/>
      <c r="AB3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8" s="5"/>
      <c r="AD3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8" s="5"/>
      <c r="AF38" s="5"/>
      <c r="AG38" s="4" t="s">
        <v>39</v>
      </c>
      <c r="AH38"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8" s="4">
        <v>4</v>
      </c>
      <c r="AJ38" s="4" t="s">
        <v>58</v>
      </c>
      <c r="AK38"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38" s="4" t="s">
        <v>150</v>
      </c>
      <c r="AM38" s="5"/>
      <c r="AN38" s="5"/>
      <c r="AO3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8" s="5"/>
      <c r="AQ3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8" s="5"/>
      <c r="AS38" s="5"/>
      <c r="AT3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8" s="5"/>
      <c r="AV3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8" s="5"/>
      <c r="AX38" s="5"/>
    </row>
    <row r="39" spans="1:50" ht="22.5" customHeight="1" x14ac:dyDescent="0.2">
      <c r="A39" s="3">
        <v>46050.852542083332</v>
      </c>
      <c r="B39" s="4" t="s">
        <v>145</v>
      </c>
      <c r="C3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39" s="4" t="s">
        <v>32</v>
      </c>
      <c r="E39" s="5">
        <f>IF(Form_Responses[[#This Row],[Q1: What is your gender?]]="Male",1, IF(Form_Responses[[#This Row],[Q1: What is your gender?]]="Female",2,IF(Form_Responses[[#This Row],[Q1: What is your gender?]]="Prefer not to say", 3,"")))</f>
        <v>1</v>
      </c>
      <c r="F39" s="4" t="s">
        <v>33</v>
      </c>
      <c r="G39" s="5">
        <f>IF(Form_Responses[[#This Row],[Q2:  What is your nationality?  ]]="Bhutanese (living in Bhutan)",1, IF(Form_Responses[[#This Row],[Q2:  What is your nationality?  ]]="Bhutanese (living outside Bhutan)",2, IF(Form_Responses[[#This Row],[Q2:  What is your nationality?  ]]="International resident",3, "")))</f>
        <v>1</v>
      </c>
      <c r="H39" s="4" t="s">
        <v>52</v>
      </c>
      <c r="I3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39" s="4" t="s">
        <v>35</v>
      </c>
      <c r="K39" s="5">
        <f>IF(Form_Responses[[#This Row],[Q1.  Would you ever consider investing in gold?]]="Yes",1, IF(Form_Responses[[#This Row],[Q1.  Would you ever consider investing in gold?]]="No",2, IF(Form_Responses[[#This Row],[Q1.  Would you ever consider investing in gold?]]="Maybe",3, "")))</f>
        <v>1</v>
      </c>
      <c r="L39" s="4" t="s">
        <v>36</v>
      </c>
      <c r="M3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39" s="5"/>
      <c r="O39" s="5"/>
      <c r="P39" s="4" t="s">
        <v>151</v>
      </c>
      <c r="Q39" s="4" t="s">
        <v>38</v>
      </c>
      <c r="R3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39" s="5"/>
      <c r="T3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39" s="5"/>
      <c r="V39" s="5" t="str">
        <f>IF(Form_Responses[[#This Row],[Q2:   Are you interested in digital assets such as cryptocurrencies?  ]]="Yes",1, IF(Form_Responses[[#This Row],[Q2:   Are you interested in digital assets such as cryptocurrencies?  ]]="No",2,""))</f>
        <v/>
      </c>
      <c r="W39" s="5"/>
      <c r="X3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39" s="5"/>
      <c r="Z39" s="5"/>
      <c r="AA39" s="5"/>
      <c r="AB3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39" s="5"/>
      <c r="AD3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39" s="5"/>
      <c r="AF39" s="5"/>
      <c r="AG39" s="4" t="s">
        <v>39</v>
      </c>
      <c r="AH3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39" s="4">
        <v>5</v>
      </c>
      <c r="AJ39" s="4" t="s">
        <v>54</v>
      </c>
      <c r="AK39"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39" s="4" t="s">
        <v>152</v>
      </c>
      <c r="AM39" s="5"/>
      <c r="AN39" s="5"/>
      <c r="AO3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39" s="5"/>
      <c r="AQ3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39" s="5"/>
      <c r="AS39" s="5"/>
      <c r="AT3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39" s="5"/>
      <c r="AV3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39" s="5"/>
      <c r="AX39" s="5"/>
    </row>
    <row r="40" spans="1:50" ht="22.5" customHeight="1" x14ac:dyDescent="0.2">
      <c r="A40" s="3">
        <v>46050.852728090278</v>
      </c>
      <c r="B40" s="4" t="s">
        <v>31</v>
      </c>
      <c r="C4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0" s="4" t="s">
        <v>63</v>
      </c>
      <c r="E40" s="5">
        <f>IF(Form_Responses[[#This Row],[Q1: What is your gender?]]="Male",1, IF(Form_Responses[[#This Row],[Q1: What is your gender?]]="Female",2,IF(Form_Responses[[#This Row],[Q1: What is your gender?]]="Prefer not to say", 3,"")))</f>
        <v>2</v>
      </c>
      <c r="F40" s="4" t="s">
        <v>33</v>
      </c>
      <c r="G40" s="5">
        <f>IF(Form_Responses[[#This Row],[Q2:  What is your nationality?  ]]="Bhutanese (living in Bhutan)",1, IF(Form_Responses[[#This Row],[Q2:  What is your nationality?  ]]="Bhutanese (living outside Bhutan)",2, IF(Form_Responses[[#This Row],[Q2:  What is your nationality?  ]]="International resident",3, "")))</f>
        <v>1</v>
      </c>
      <c r="H40" s="4" t="s">
        <v>52</v>
      </c>
      <c r="I4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40" s="4" t="s">
        <v>36</v>
      </c>
      <c r="K40" s="5">
        <f>IF(Form_Responses[[#This Row],[Q1.  Would you ever consider investing in gold?]]="Yes",1, IF(Form_Responses[[#This Row],[Q1.  Would you ever consider investing in gold?]]="No",2, IF(Form_Responses[[#This Row],[Q1.  Would you ever consider investing in gold?]]="Maybe",3, "")))</f>
        <v>2</v>
      </c>
      <c r="L40" s="4" t="s">
        <v>36</v>
      </c>
      <c r="M4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40" s="5"/>
      <c r="O40" s="5"/>
      <c r="P40" s="4" t="s">
        <v>76</v>
      </c>
      <c r="Q40" s="4" t="s">
        <v>80</v>
      </c>
      <c r="R4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40" s="4" t="s">
        <v>35</v>
      </c>
      <c r="T4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40" s="4" t="s">
        <v>35</v>
      </c>
      <c r="V40" s="5">
        <f>IF(Form_Responses[[#This Row],[Q2:   Are you interested in digital assets such as cryptocurrencies?  ]]="Yes",1, IF(Form_Responses[[#This Row],[Q2:   Are you interested in digital assets such as cryptocurrencies?  ]]="No",2,""))</f>
        <v>1</v>
      </c>
      <c r="W40" s="5"/>
      <c r="X4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0" s="5"/>
      <c r="Z40" s="4" t="s">
        <v>153</v>
      </c>
      <c r="AA40" s="4" t="s">
        <v>60</v>
      </c>
      <c r="AB40"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40" s="4" t="s">
        <v>68</v>
      </c>
      <c r="AD40"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40" s="4" t="s">
        <v>154</v>
      </c>
      <c r="AF40" s="5"/>
      <c r="AG40" s="5"/>
      <c r="AH4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40" s="5"/>
      <c r="AJ40" s="5"/>
      <c r="AK4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0" s="5"/>
      <c r="AM40" s="5"/>
      <c r="AN40" s="5"/>
      <c r="AO4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40" s="5"/>
      <c r="AQ4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40" s="5"/>
      <c r="AS40" s="5"/>
      <c r="AT4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40" s="5"/>
      <c r="AV4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40" s="5"/>
      <c r="AX40" s="5"/>
    </row>
    <row r="41" spans="1:50" ht="22.5" customHeight="1" x14ac:dyDescent="0.2">
      <c r="A41" s="3">
        <v>46050.853299155089</v>
      </c>
      <c r="B41" s="4" t="s">
        <v>31</v>
      </c>
      <c r="C4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1" s="4" t="s">
        <v>63</v>
      </c>
      <c r="E41" s="5">
        <f>IF(Form_Responses[[#This Row],[Q1: What is your gender?]]="Male",1, IF(Form_Responses[[#This Row],[Q1: What is your gender?]]="Female",2,IF(Form_Responses[[#This Row],[Q1: What is your gender?]]="Prefer not to say", 3,"")))</f>
        <v>2</v>
      </c>
      <c r="F41" s="4" t="s">
        <v>33</v>
      </c>
      <c r="G41" s="5">
        <f>IF(Form_Responses[[#This Row],[Q2:  What is your nationality?  ]]="Bhutanese (living in Bhutan)",1, IF(Form_Responses[[#This Row],[Q2:  What is your nationality?  ]]="Bhutanese (living outside Bhutan)",2, IF(Form_Responses[[#This Row],[Q2:  What is your nationality?  ]]="International resident",3, "")))</f>
        <v>1</v>
      </c>
      <c r="H41" s="4" t="s">
        <v>155</v>
      </c>
      <c r="I4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5</v>
      </c>
      <c r="J41" s="4" t="s">
        <v>60</v>
      </c>
      <c r="K41" s="5">
        <f>IF(Form_Responses[[#This Row],[Q1.  Would you ever consider investing in gold?]]="Yes",1, IF(Form_Responses[[#This Row],[Q1.  Would you ever consider investing in gold?]]="No",2, IF(Form_Responses[[#This Row],[Q1.  Would you ever consider investing in gold?]]="Maybe",3, "")))</f>
        <v>3</v>
      </c>
      <c r="L41" s="4" t="s">
        <v>36</v>
      </c>
      <c r="M4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41" s="5"/>
      <c r="O41" s="5"/>
      <c r="P41" s="4" t="s">
        <v>156</v>
      </c>
      <c r="Q41" s="4" t="s">
        <v>80</v>
      </c>
      <c r="R4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41" s="4" t="s">
        <v>157</v>
      </c>
      <c r="T41"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2</v>
      </c>
      <c r="U41" s="4" t="s">
        <v>36</v>
      </c>
      <c r="V41" s="5">
        <f>IF(Form_Responses[[#This Row],[Q2:   Are you interested in digital assets such as cryptocurrencies?  ]]="Yes",1, IF(Form_Responses[[#This Row],[Q2:   Are you interested in digital assets such as cryptocurrencies?  ]]="No",2,""))</f>
        <v>2</v>
      </c>
      <c r="W41" s="4" t="s">
        <v>158</v>
      </c>
      <c r="X41"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5</v>
      </c>
      <c r="Y41" s="4" t="s">
        <v>159</v>
      </c>
      <c r="Z41" s="5"/>
      <c r="AA41" s="5"/>
      <c r="AB4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1" s="5"/>
      <c r="AD4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1" s="5"/>
      <c r="AF41" s="5"/>
      <c r="AG41" s="5"/>
      <c r="AH41"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41" s="5"/>
      <c r="AJ41" s="5"/>
      <c r="AK4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1" s="5"/>
      <c r="AM41" s="5"/>
      <c r="AN41" s="5"/>
      <c r="AO4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41" s="5"/>
      <c r="AQ4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41" s="5"/>
      <c r="AS41" s="5"/>
      <c r="AT4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41" s="5"/>
      <c r="AV4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41" s="5"/>
      <c r="AX41" s="5"/>
    </row>
    <row r="42" spans="1:50" ht="22.5" customHeight="1" x14ac:dyDescent="0.2">
      <c r="A42" s="3">
        <v>46050.858539629626</v>
      </c>
      <c r="B42" s="4" t="s">
        <v>145</v>
      </c>
      <c r="C4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42" s="4" t="s">
        <v>32</v>
      </c>
      <c r="E42" s="5">
        <f>IF(Form_Responses[[#This Row],[Q1: What is your gender?]]="Male",1, IF(Form_Responses[[#This Row],[Q1: What is your gender?]]="Female",2,IF(Form_Responses[[#This Row],[Q1: What is your gender?]]="Prefer not to say", 3,"")))</f>
        <v>1</v>
      </c>
      <c r="F42" s="4" t="s">
        <v>33</v>
      </c>
      <c r="G42" s="5">
        <f>IF(Form_Responses[[#This Row],[Q2:  What is your nationality?  ]]="Bhutanese (living in Bhutan)",1, IF(Form_Responses[[#This Row],[Q2:  What is your nationality?  ]]="Bhutanese (living outside Bhutan)",2, IF(Form_Responses[[#This Row],[Q2:  What is your nationality?  ]]="International resident",3, "")))</f>
        <v>1</v>
      </c>
      <c r="H42" s="4" t="s">
        <v>34</v>
      </c>
      <c r="I4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42" s="4" t="s">
        <v>35</v>
      </c>
      <c r="K42" s="5">
        <f>IF(Form_Responses[[#This Row],[Q1.  Would you ever consider investing in gold?]]="Yes",1, IF(Form_Responses[[#This Row],[Q1.  Would you ever consider investing in gold?]]="No",2, IF(Form_Responses[[#This Row],[Q1.  Would you ever consider investing in gold?]]="Maybe",3, "")))</f>
        <v>1</v>
      </c>
      <c r="L42" s="4" t="s">
        <v>35</v>
      </c>
      <c r="M42"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42" s="4" t="s">
        <v>160</v>
      </c>
      <c r="O42" s="4">
        <v>3</v>
      </c>
      <c r="P42" s="5"/>
      <c r="Q42" s="4" t="s">
        <v>84</v>
      </c>
      <c r="R4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42" s="5"/>
      <c r="T4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2" s="5"/>
      <c r="V42" s="5" t="str">
        <f>IF(Form_Responses[[#This Row],[Q2:   Are you interested in digital assets such as cryptocurrencies?  ]]="Yes",1, IF(Form_Responses[[#This Row],[Q2:   Are you interested in digital assets such as cryptocurrencies?  ]]="No",2,""))</f>
        <v/>
      </c>
      <c r="W42" s="5"/>
      <c r="X4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2" s="5"/>
      <c r="Z42" s="5"/>
      <c r="AA42" s="5"/>
      <c r="AB4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2" s="5"/>
      <c r="AD4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2" s="5"/>
      <c r="AF42" s="5"/>
      <c r="AG42" s="4" t="s">
        <v>108</v>
      </c>
      <c r="AH4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42" s="5"/>
      <c r="AJ42" s="5"/>
      <c r="AK42"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2" s="5"/>
      <c r="AM42" s="4">
        <v>4</v>
      </c>
      <c r="AN42" s="4" t="s">
        <v>129</v>
      </c>
      <c r="AO42"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10</v>
      </c>
      <c r="AP42" s="4" t="s">
        <v>86</v>
      </c>
      <c r="AQ42"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7</v>
      </c>
      <c r="AR42" s="4">
        <v>2</v>
      </c>
      <c r="AS42" s="4" t="s">
        <v>87</v>
      </c>
      <c r="AT42"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42" s="4" t="s">
        <v>68</v>
      </c>
      <c r="AV42"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42" s="4">
        <v>5</v>
      </c>
      <c r="AX42" s="4" t="s">
        <v>161</v>
      </c>
    </row>
    <row r="43" spans="1:50" ht="22.5" customHeight="1" x14ac:dyDescent="0.2">
      <c r="A43" s="3">
        <v>46050.858883900466</v>
      </c>
      <c r="B43" s="4" t="s">
        <v>31</v>
      </c>
      <c r="C4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3" s="4" t="s">
        <v>63</v>
      </c>
      <c r="E43" s="5">
        <f>IF(Form_Responses[[#This Row],[Q1: What is your gender?]]="Male",1, IF(Form_Responses[[#This Row],[Q1: What is your gender?]]="Female",2,IF(Form_Responses[[#This Row],[Q1: What is your gender?]]="Prefer not to say", 3,"")))</f>
        <v>2</v>
      </c>
      <c r="F43" s="4" t="s">
        <v>33</v>
      </c>
      <c r="G43" s="5">
        <f>IF(Form_Responses[[#This Row],[Q2:  What is your nationality?  ]]="Bhutanese (living in Bhutan)",1, IF(Form_Responses[[#This Row],[Q2:  What is your nationality?  ]]="Bhutanese (living outside Bhutan)",2, IF(Form_Responses[[#This Row],[Q2:  What is your nationality?  ]]="International resident",3, "")))</f>
        <v>1</v>
      </c>
      <c r="H43" s="4" t="s">
        <v>56</v>
      </c>
      <c r="I4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43" s="4" t="s">
        <v>60</v>
      </c>
      <c r="K43" s="5">
        <f>IF(Form_Responses[[#This Row],[Q1.  Would you ever consider investing in gold?]]="Yes",1, IF(Form_Responses[[#This Row],[Q1.  Would you ever consider investing in gold?]]="No",2, IF(Form_Responses[[#This Row],[Q1.  Would you ever consider investing in gold?]]="Maybe",3, "")))</f>
        <v>3</v>
      </c>
      <c r="L43" s="4" t="s">
        <v>36</v>
      </c>
      <c r="M4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43" s="5"/>
      <c r="O43" s="5"/>
      <c r="P43" s="4" t="s">
        <v>162</v>
      </c>
      <c r="Q43" s="4" t="s">
        <v>38</v>
      </c>
      <c r="R4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43" s="5"/>
      <c r="T4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3" s="5"/>
      <c r="V43" s="5" t="str">
        <f>IF(Form_Responses[[#This Row],[Q2:   Are you interested in digital assets such as cryptocurrencies?  ]]="Yes",1, IF(Form_Responses[[#This Row],[Q2:   Are you interested in digital assets such as cryptocurrencies?  ]]="No",2,""))</f>
        <v/>
      </c>
      <c r="W43" s="5"/>
      <c r="X4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3" s="5"/>
      <c r="Z43" s="5"/>
      <c r="AA43" s="5"/>
      <c r="AB4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3" s="5"/>
      <c r="AD4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3" s="5"/>
      <c r="AF43" s="5"/>
      <c r="AG43" s="4" t="s">
        <v>43</v>
      </c>
      <c r="AH4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43" s="5"/>
      <c r="AJ43" s="5"/>
      <c r="AK4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3" s="5"/>
      <c r="AM43" s="4">
        <v>4</v>
      </c>
      <c r="AN43" s="4" t="s">
        <v>97</v>
      </c>
      <c r="AO43"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4</v>
      </c>
      <c r="AP43" s="4" t="s">
        <v>124</v>
      </c>
      <c r="AQ43"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4</v>
      </c>
      <c r="AR43" s="4">
        <v>3</v>
      </c>
      <c r="AS43" s="4" t="s">
        <v>46</v>
      </c>
      <c r="AT43"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3</v>
      </c>
      <c r="AU43" s="4" t="s">
        <v>163</v>
      </c>
      <c r="AV43"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1</v>
      </c>
      <c r="AW43" s="4">
        <v>3</v>
      </c>
      <c r="AX43" s="4" t="s">
        <v>164</v>
      </c>
    </row>
    <row r="44" spans="1:50" ht="22.5" customHeight="1" x14ac:dyDescent="0.2">
      <c r="A44" s="3">
        <v>46050.861861423611</v>
      </c>
      <c r="B44" s="4" t="s">
        <v>31</v>
      </c>
      <c r="C4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4" s="4" t="s">
        <v>63</v>
      </c>
      <c r="E44" s="5">
        <f>IF(Form_Responses[[#This Row],[Q1: What is your gender?]]="Male",1, IF(Form_Responses[[#This Row],[Q1: What is your gender?]]="Female",2,IF(Form_Responses[[#This Row],[Q1: What is your gender?]]="Prefer not to say", 3,"")))</f>
        <v>2</v>
      </c>
      <c r="F44" s="4" t="s">
        <v>33</v>
      </c>
      <c r="G44" s="5">
        <f>IF(Form_Responses[[#This Row],[Q2:  What is your nationality?  ]]="Bhutanese (living in Bhutan)",1, IF(Form_Responses[[#This Row],[Q2:  What is your nationality?  ]]="Bhutanese (living outside Bhutan)",2, IF(Form_Responses[[#This Row],[Q2:  What is your nationality?  ]]="International resident",3, "")))</f>
        <v>1</v>
      </c>
      <c r="H44" s="4" t="s">
        <v>34</v>
      </c>
      <c r="I4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44" s="4" t="s">
        <v>60</v>
      </c>
      <c r="K44" s="5">
        <f>IF(Form_Responses[[#This Row],[Q1.  Would you ever consider investing in gold?]]="Yes",1, IF(Form_Responses[[#This Row],[Q1.  Would you ever consider investing in gold?]]="No",2, IF(Form_Responses[[#This Row],[Q1.  Would you ever consider investing in gold?]]="Maybe",3, "")))</f>
        <v>3</v>
      </c>
      <c r="L44" s="4" t="s">
        <v>36</v>
      </c>
      <c r="M44"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44" s="5"/>
      <c r="O44" s="5"/>
      <c r="P44" s="4" t="s">
        <v>165</v>
      </c>
      <c r="Q44" s="4" t="s">
        <v>84</v>
      </c>
      <c r="R4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44" s="5"/>
      <c r="T4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4" s="5"/>
      <c r="V44" s="5" t="str">
        <f>IF(Form_Responses[[#This Row],[Q2:   Are you interested in digital assets such as cryptocurrencies?  ]]="Yes",1, IF(Form_Responses[[#This Row],[Q2:   Are you interested in digital assets such as cryptocurrencies?  ]]="No",2,""))</f>
        <v/>
      </c>
      <c r="W44" s="5"/>
      <c r="X4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4" s="5"/>
      <c r="Z44" s="5"/>
      <c r="AA44" s="5"/>
      <c r="AB4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4" s="5"/>
      <c r="AD4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4" s="5"/>
      <c r="AF44" s="5"/>
      <c r="AG44" s="4" t="s">
        <v>43</v>
      </c>
      <c r="AH4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44" s="5"/>
      <c r="AJ44" s="5"/>
      <c r="AK4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4" s="5"/>
      <c r="AM44" s="4">
        <v>4</v>
      </c>
      <c r="AN44" s="4" t="s">
        <v>113</v>
      </c>
      <c r="AO44"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9</v>
      </c>
      <c r="AP44" s="4" t="s">
        <v>166</v>
      </c>
      <c r="AQ44"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10</v>
      </c>
      <c r="AR44" s="4">
        <v>3</v>
      </c>
      <c r="AS44" s="4" t="s">
        <v>46</v>
      </c>
      <c r="AT44"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3</v>
      </c>
      <c r="AU44" s="4" t="s">
        <v>47</v>
      </c>
      <c r="AV44"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44" s="4">
        <v>5</v>
      </c>
      <c r="AX44" s="4" t="s">
        <v>167</v>
      </c>
    </row>
    <row r="45" spans="1:50" ht="22.5" customHeight="1" x14ac:dyDescent="0.2">
      <c r="A45" s="3">
        <v>46050.862444131941</v>
      </c>
      <c r="B45" s="4" t="s">
        <v>31</v>
      </c>
      <c r="C4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5" s="4" t="s">
        <v>63</v>
      </c>
      <c r="E45" s="5">
        <f>IF(Form_Responses[[#This Row],[Q1: What is your gender?]]="Male",1, IF(Form_Responses[[#This Row],[Q1: What is your gender?]]="Female",2,IF(Form_Responses[[#This Row],[Q1: What is your gender?]]="Prefer not to say", 3,"")))</f>
        <v>2</v>
      </c>
      <c r="F45" s="4" t="s">
        <v>33</v>
      </c>
      <c r="G45" s="5">
        <f>IF(Form_Responses[[#This Row],[Q2:  What is your nationality?  ]]="Bhutanese (living in Bhutan)",1, IF(Form_Responses[[#This Row],[Q2:  What is your nationality?  ]]="Bhutanese (living outside Bhutan)",2, IF(Form_Responses[[#This Row],[Q2:  What is your nationality?  ]]="International resident",3, "")))</f>
        <v>1</v>
      </c>
      <c r="H45" s="4" t="s">
        <v>34</v>
      </c>
      <c r="I4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45" s="4" t="s">
        <v>35</v>
      </c>
      <c r="K45" s="5">
        <f>IF(Form_Responses[[#This Row],[Q1.  Would you ever consider investing in gold?]]="Yes",1, IF(Form_Responses[[#This Row],[Q1.  Would you ever consider investing in gold?]]="No",2, IF(Form_Responses[[#This Row],[Q1.  Would you ever consider investing in gold?]]="Maybe",3, "")))</f>
        <v>1</v>
      </c>
      <c r="L45" s="4" t="s">
        <v>35</v>
      </c>
      <c r="M45"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45" s="4" t="s">
        <v>146</v>
      </c>
      <c r="O45" s="4">
        <v>5</v>
      </c>
      <c r="P45" s="5"/>
      <c r="Q45" s="4" t="s">
        <v>84</v>
      </c>
      <c r="R4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45" s="5"/>
      <c r="T4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5" s="5"/>
      <c r="V45" s="5" t="str">
        <f>IF(Form_Responses[[#This Row],[Q2:   Are you interested in digital assets such as cryptocurrencies?  ]]="Yes",1, IF(Form_Responses[[#This Row],[Q2:   Are you interested in digital assets such as cryptocurrencies?  ]]="No",2,""))</f>
        <v/>
      </c>
      <c r="W45" s="5"/>
      <c r="X4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5" s="5"/>
      <c r="Z45" s="5"/>
      <c r="AA45" s="5"/>
      <c r="AB4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5" s="5"/>
      <c r="AD4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5" s="5"/>
      <c r="AF45" s="5"/>
      <c r="AG45" s="4" t="s">
        <v>43</v>
      </c>
      <c r="AH4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45" s="5"/>
      <c r="AJ45" s="5"/>
      <c r="AK4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5" s="5"/>
      <c r="AM45" s="4">
        <v>4</v>
      </c>
      <c r="AN45" s="4" t="s">
        <v>85</v>
      </c>
      <c r="AO45"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7</v>
      </c>
      <c r="AP45" s="4" t="s">
        <v>168</v>
      </c>
      <c r="AQ45"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11</v>
      </c>
      <c r="AR45" s="4">
        <v>4</v>
      </c>
      <c r="AS45" s="4" t="s">
        <v>46</v>
      </c>
      <c r="AT45"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3</v>
      </c>
      <c r="AU45" s="4" t="s">
        <v>125</v>
      </c>
      <c r="AV45"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45" s="4">
        <v>5</v>
      </c>
      <c r="AX45" s="4" t="s">
        <v>169</v>
      </c>
    </row>
    <row r="46" spans="1:50" ht="22.5" customHeight="1" x14ac:dyDescent="0.2">
      <c r="A46" s="3">
        <v>46050.868967442133</v>
      </c>
      <c r="B46" s="4" t="s">
        <v>31</v>
      </c>
      <c r="C4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6" s="4" t="s">
        <v>63</v>
      </c>
      <c r="E46" s="5">
        <f>IF(Form_Responses[[#This Row],[Q1: What is your gender?]]="Male",1, IF(Form_Responses[[#This Row],[Q1: What is your gender?]]="Female",2,IF(Form_Responses[[#This Row],[Q1: What is your gender?]]="Prefer not to say", 3,"")))</f>
        <v>2</v>
      </c>
      <c r="F46" s="4" t="s">
        <v>33</v>
      </c>
      <c r="G46" s="5">
        <f>IF(Form_Responses[[#This Row],[Q2:  What is your nationality?  ]]="Bhutanese (living in Bhutan)",1, IF(Form_Responses[[#This Row],[Q2:  What is your nationality?  ]]="Bhutanese (living outside Bhutan)",2, IF(Form_Responses[[#This Row],[Q2:  What is your nationality?  ]]="International resident",3, "")))</f>
        <v>1</v>
      </c>
      <c r="H46" s="4" t="s">
        <v>34</v>
      </c>
      <c r="I4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46" s="4" t="s">
        <v>60</v>
      </c>
      <c r="K46" s="5">
        <f>IF(Form_Responses[[#This Row],[Q1.  Would you ever consider investing in gold?]]="Yes",1, IF(Form_Responses[[#This Row],[Q1.  Would you ever consider investing in gold?]]="No",2, IF(Form_Responses[[#This Row],[Q1.  Would you ever consider investing in gold?]]="Maybe",3, "")))</f>
        <v>3</v>
      </c>
      <c r="L46" s="4" t="s">
        <v>36</v>
      </c>
      <c r="M4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46" s="5"/>
      <c r="O46" s="5"/>
      <c r="P46" s="4" t="s">
        <v>162</v>
      </c>
      <c r="Q46" s="4" t="s">
        <v>84</v>
      </c>
      <c r="R4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46" s="5"/>
      <c r="T4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6" s="5"/>
      <c r="V46" s="5" t="str">
        <f>IF(Form_Responses[[#This Row],[Q2:   Are you interested in digital assets such as cryptocurrencies?  ]]="Yes",1, IF(Form_Responses[[#This Row],[Q2:   Are you interested in digital assets such as cryptocurrencies?  ]]="No",2,""))</f>
        <v/>
      </c>
      <c r="W46" s="5"/>
      <c r="X4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6" s="5"/>
      <c r="Z46" s="5"/>
      <c r="AA46" s="5"/>
      <c r="AB4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6" s="5"/>
      <c r="AD4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6" s="5"/>
      <c r="AF46" s="5"/>
      <c r="AG46" s="4" t="s">
        <v>43</v>
      </c>
      <c r="AH4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46" s="5"/>
      <c r="AJ46" s="5"/>
      <c r="AK46"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6" s="5"/>
      <c r="AM46" s="4">
        <v>3</v>
      </c>
      <c r="AN46" s="4" t="s">
        <v>85</v>
      </c>
      <c r="AO46"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7</v>
      </c>
      <c r="AP46" s="4" t="s">
        <v>170</v>
      </c>
      <c r="AQ46"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12</v>
      </c>
      <c r="AR46" s="4">
        <v>3</v>
      </c>
      <c r="AS46" s="4" t="s">
        <v>87</v>
      </c>
      <c r="AT46"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46" s="4" t="s">
        <v>68</v>
      </c>
      <c r="AV46"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46" s="4">
        <v>4</v>
      </c>
      <c r="AX46" s="4" t="s">
        <v>171</v>
      </c>
    </row>
    <row r="47" spans="1:50" ht="22.5" customHeight="1" x14ac:dyDescent="0.2">
      <c r="A47" s="3">
        <v>46050.878010729168</v>
      </c>
      <c r="B47" s="4" t="s">
        <v>145</v>
      </c>
      <c r="C4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47" s="4" t="s">
        <v>32</v>
      </c>
      <c r="E47" s="5">
        <f>IF(Form_Responses[[#This Row],[Q1: What is your gender?]]="Male",1, IF(Form_Responses[[#This Row],[Q1: What is your gender?]]="Female",2,IF(Form_Responses[[#This Row],[Q1: What is your gender?]]="Prefer not to say", 3,"")))</f>
        <v>1</v>
      </c>
      <c r="F47" s="4" t="s">
        <v>33</v>
      </c>
      <c r="G47" s="5">
        <f>IF(Form_Responses[[#This Row],[Q2:  What is your nationality?  ]]="Bhutanese (living in Bhutan)",1, IF(Form_Responses[[#This Row],[Q2:  What is your nationality?  ]]="Bhutanese (living outside Bhutan)",2, IF(Form_Responses[[#This Row],[Q2:  What is your nationality?  ]]="International resident",3, "")))</f>
        <v>1</v>
      </c>
      <c r="H47" s="4" t="s">
        <v>56</v>
      </c>
      <c r="I4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47" s="4" t="s">
        <v>35</v>
      </c>
      <c r="K47" s="5">
        <f>IF(Form_Responses[[#This Row],[Q1.  Would you ever consider investing in gold?]]="Yes",1, IF(Form_Responses[[#This Row],[Q1.  Would you ever consider investing in gold?]]="No",2, IF(Form_Responses[[#This Row],[Q1.  Would you ever consider investing in gold?]]="Maybe",3, "")))</f>
        <v>1</v>
      </c>
      <c r="L47" s="4" t="s">
        <v>36</v>
      </c>
      <c r="M4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47" s="5"/>
      <c r="O47" s="5"/>
      <c r="P47" s="4" t="s">
        <v>172</v>
      </c>
      <c r="Q47" s="4" t="s">
        <v>107</v>
      </c>
      <c r="R4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5</v>
      </c>
      <c r="S47" s="5"/>
      <c r="T4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7" s="5"/>
      <c r="V47" s="5" t="str">
        <f>IF(Form_Responses[[#This Row],[Q2:   Are you interested in digital assets such as cryptocurrencies?  ]]="Yes",1, IF(Form_Responses[[#This Row],[Q2:   Are you interested in digital assets such as cryptocurrencies?  ]]="No",2,""))</f>
        <v/>
      </c>
      <c r="W47" s="5"/>
      <c r="X4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7" s="5"/>
      <c r="Z47" s="5"/>
      <c r="AA47" s="5"/>
      <c r="AB4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7" s="5"/>
      <c r="AD4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7" s="5"/>
      <c r="AF47" s="5"/>
      <c r="AG47" s="4" t="s">
        <v>108</v>
      </c>
      <c r="AH4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47" s="5"/>
      <c r="AJ47" s="5"/>
      <c r="AK4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7" s="5"/>
      <c r="AM47" s="4">
        <v>5</v>
      </c>
      <c r="AN47" s="4" t="s">
        <v>173</v>
      </c>
      <c r="AO47"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3</v>
      </c>
      <c r="AP47" s="4" t="s">
        <v>174</v>
      </c>
      <c r="AQ47"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2</v>
      </c>
      <c r="AR47" s="4">
        <v>5</v>
      </c>
      <c r="AS47" s="4" t="s">
        <v>87</v>
      </c>
      <c r="AT47"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47" s="4" t="s">
        <v>163</v>
      </c>
      <c r="AV47"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1</v>
      </c>
      <c r="AW47" s="4">
        <v>5</v>
      </c>
      <c r="AX47" s="4" t="s">
        <v>35</v>
      </c>
    </row>
    <row r="48" spans="1:50" ht="22.5" customHeight="1" x14ac:dyDescent="0.2">
      <c r="A48" s="3">
        <v>46050.881584710645</v>
      </c>
      <c r="B48" s="4" t="s">
        <v>31</v>
      </c>
      <c r="C4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48" s="4" t="s">
        <v>63</v>
      </c>
      <c r="E48" s="5">
        <f>IF(Form_Responses[[#This Row],[Q1: What is your gender?]]="Male",1, IF(Form_Responses[[#This Row],[Q1: What is your gender?]]="Female",2,IF(Form_Responses[[#This Row],[Q1: What is your gender?]]="Prefer not to say", 3,"")))</f>
        <v>2</v>
      </c>
      <c r="F48" s="4" t="s">
        <v>33</v>
      </c>
      <c r="G48" s="5">
        <f>IF(Form_Responses[[#This Row],[Q2:  What is your nationality?  ]]="Bhutanese (living in Bhutan)",1, IF(Form_Responses[[#This Row],[Q2:  What is your nationality?  ]]="Bhutanese (living outside Bhutan)",2, IF(Form_Responses[[#This Row],[Q2:  What is your nationality?  ]]="International resident",3, "")))</f>
        <v>1</v>
      </c>
      <c r="H48" s="4" t="s">
        <v>175</v>
      </c>
      <c r="I4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48" s="4" t="s">
        <v>35</v>
      </c>
      <c r="K48" s="5">
        <f>IF(Form_Responses[[#This Row],[Q1.  Would you ever consider investing in gold?]]="Yes",1, IF(Form_Responses[[#This Row],[Q1.  Would you ever consider investing in gold?]]="No",2, IF(Form_Responses[[#This Row],[Q1.  Would you ever consider investing in gold?]]="Maybe",3, "")))</f>
        <v>1</v>
      </c>
      <c r="L48" s="4" t="s">
        <v>35</v>
      </c>
      <c r="M48"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48" s="4" t="s">
        <v>176</v>
      </c>
      <c r="O48" s="4">
        <v>4</v>
      </c>
      <c r="P48" s="5"/>
      <c r="Q48" s="4" t="s">
        <v>84</v>
      </c>
      <c r="R4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48" s="5"/>
      <c r="T4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8" s="5"/>
      <c r="V48" s="5" t="str">
        <f>IF(Form_Responses[[#This Row],[Q2:   Are you interested in digital assets such as cryptocurrencies?  ]]="Yes",1, IF(Form_Responses[[#This Row],[Q2:   Are you interested in digital assets such as cryptocurrencies?  ]]="No",2,""))</f>
        <v/>
      </c>
      <c r="W48" s="5"/>
      <c r="X4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8" s="5"/>
      <c r="Z48" s="5"/>
      <c r="AA48" s="5"/>
      <c r="AB4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8" s="5"/>
      <c r="AD4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8" s="5"/>
      <c r="AF48" s="5"/>
      <c r="AG48" s="4" t="s">
        <v>39</v>
      </c>
      <c r="AH48"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48" s="4">
        <v>5</v>
      </c>
      <c r="AJ48" s="4" t="s">
        <v>54</v>
      </c>
      <c r="AK48"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48" s="4" t="s">
        <v>177</v>
      </c>
      <c r="AM48" s="5"/>
      <c r="AN48" s="5"/>
      <c r="AO4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48" s="5"/>
      <c r="AQ4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48" s="5"/>
      <c r="AS48" s="5"/>
      <c r="AT4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48" s="5"/>
      <c r="AV4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48" s="5"/>
      <c r="AX48" s="5"/>
    </row>
    <row r="49" spans="1:50" ht="22.5" customHeight="1" x14ac:dyDescent="0.2">
      <c r="A49" s="3">
        <v>46050.889501736106</v>
      </c>
      <c r="B49" s="4" t="s">
        <v>102</v>
      </c>
      <c r="C4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49" s="4" t="s">
        <v>32</v>
      </c>
      <c r="E49" s="5">
        <f>IF(Form_Responses[[#This Row],[Q1: What is your gender?]]="Male",1, IF(Form_Responses[[#This Row],[Q1: What is your gender?]]="Female",2,IF(Form_Responses[[#This Row],[Q1: What is your gender?]]="Prefer not to say", 3,"")))</f>
        <v>1</v>
      </c>
      <c r="F49" s="4" t="s">
        <v>33</v>
      </c>
      <c r="G49" s="5">
        <f>IF(Form_Responses[[#This Row],[Q2:  What is your nationality?  ]]="Bhutanese (living in Bhutan)",1, IF(Form_Responses[[#This Row],[Q2:  What is your nationality?  ]]="Bhutanese (living outside Bhutan)",2, IF(Form_Responses[[#This Row],[Q2:  What is your nationality?  ]]="International resident",3, "")))</f>
        <v>1</v>
      </c>
      <c r="H49" s="4" t="s">
        <v>52</v>
      </c>
      <c r="I4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49" s="4" t="s">
        <v>35</v>
      </c>
      <c r="K49" s="5">
        <f>IF(Form_Responses[[#This Row],[Q1.  Would you ever consider investing in gold?]]="Yes",1, IF(Form_Responses[[#This Row],[Q1.  Would you ever consider investing in gold?]]="No",2, IF(Form_Responses[[#This Row],[Q1.  Would you ever consider investing in gold?]]="Maybe",3, "")))</f>
        <v>1</v>
      </c>
      <c r="L49" s="4" t="s">
        <v>35</v>
      </c>
      <c r="M49"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49" s="4" t="s">
        <v>178</v>
      </c>
      <c r="O49" s="4">
        <v>4</v>
      </c>
      <c r="P49" s="5"/>
      <c r="Q49" s="4" t="s">
        <v>84</v>
      </c>
      <c r="R4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49" s="5"/>
      <c r="T4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49" s="5"/>
      <c r="V49" s="5" t="str">
        <f>IF(Form_Responses[[#This Row],[Q2:   Are you interested in digital assets such as cryptocurrencies?  ]]="Yes",1, IF(Form_Responses[[#This Row],[Q2:   Are you interested in digital assets such as cryptocurrencies?  ]]="No",2,""))</f>
        <v/>
      </c>
      <c r="W49" s="5"/>
      <c r="X4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49" s="5"/>
      <c r="Z49" s="5"/>
      <c r="AA49" s="5"/>
      <c r="AB4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49" s="5"/>
      <c r="AD4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49" s="5"/>
      <c r="AF49" s="5"/>
      <c r="AG49" s="4" t="s">
        <v>43</v>
      </c>
      <c r="AH4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49" s="5"/>
      <c r="AJ49" s="5"/>
      <c r="AK4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49" s="5"/>
      <c r="AM49" s="4">
        <v>4</v>
      </c>
      <c r="AN49" s="4" t="s">
        <v>173</v>
      </c>
      <c r="AO49"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3</v>
      </c>
      <c r="AP49" s="4" t="s">
        <v>174</v>
      </c>
      <c r="AQ49"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2</v>
      </c>
      <c r="AR49" s="4">
        <v>4</v>
      </c>
      <c r="AS49" s="4" t="s">
        <v>87</v>
      </c>
      <c r="AT49"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49" s="4" t="s">
        <v>88</v>
      </c>
      <c r="AV49"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2</v>
      </c>
      <c r="AW49" s="4">
        <v>4</v>
      </c>
      <c r="AX49" s="4" t="s">
        <v>179</v>
      </c>
    </row>
    <row r="50" spans="1:50" ht="22.5" customHeight="1" x14ac:dyDescent="0.2">
      <c r="A50" s="3">
        <v>46050.889697384264</v>
      </c>
      <c r="B50" s="4" t="s">
        <v>31</v>
      </c>
      <c r="C5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0" s="4" t="s">
        <v>63</v>
      </c>
      <c r="E50" s="5">
        <f>IF(Form_Responses[[#This Row],[Q1: What is your gender?]]="Male",1, IF(Form_Responses[[#This Row],[Q1: What is your gender?]]="Female",2,IF(Form_Responses[[#This Row],[Q1: What is your gender?]]="Prefer not to say", 3,"")))</f>
        <v>2</v>
      </c>
      <c r="F50" s="4" t="s">
        <v>33</v>
      </c>
      <c r="G50" s="5">
        <f>IF(Form_Responses[[#This Row],[Q2:  What is your nationality?  ]]="Bhutanese (living in Bhutan)",1, IF(Form_Responses[[#This Row],[Q2:  What is your nationality?  ]]="Bhutanese (living outside Bhutan)",2, IF(Form_Responses[[#This Row],[Q2:  What is your nationality?  ]]="International resident",3, "")))</f>
        <v>1</v>
      </c>
      <c r="H50" s="4" t="s">
        <v>56</v>
      </c>
      <c r="I5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50" s="4" t="s">
        <v>35</v>
      </c>
      <c r="K50" s="5">
        <f>IF(Form_Responses[[#This Row],[Q1.  Would you ever consider investing in gold?]]="Yes",1, IF(Form_Responses[[#This Row],[Q1.  Would you ever consider investing in gold?]]="No",2, IF(Form_Responses[[#This Row],[Q1.  Would you ever consider investing in gold?]]="Maybe",3, "")))</f>
        <v>1</v>
      </c>
      <c r="L50" s="4" t="s">
        <v>35</v>
      </c>
      <c r="M50"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50" s="4" t="s">
        <v>94</v>
      </c>
      <c r="O50" s="4">
        <v>3</v>
      </c>
      <c r="P50" s="5"/>
      <c r="Q50" s="4" t="s">
        <v>80</v>
      </c>
      <c r="R5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50" s="4" t="s">
        <v>60</v>
      </c>
      <c r="T5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50" s="4" t="s">
        <v>36</v>
      </c>
      <c r="V50" s="5">
        <f>IF(Form_Responses[[#This Row],[Q2:   Are you interested in digital assets such as cryptocurrencies?  ]]="Yes",1, IF(Form_Responses[[#This Row],[Q2:   Are you interested in digital assets such as cryptocurrencies?  ]]="No",2,""))</f>
        <v>2</v>
      </c>
      <c r="W50" s="4" t="s">
        <v>180</v>
      </c>
      <c r="X50"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1</v>
      </c>
      <c r="Y50" s="4" t="s">
        <v>36</v>
      </c>
      <c r="Z50" s="5"/>
      <c r="AA50" s="5"/>
      <c r="AB50"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0" s="5"/>
      <c r="AD50"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0" s="5"/>
      <c r="AF50" s="5"/>
      <c r="AG50" s="5"/>
      <c r="AH5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50" s="5"/>
      <c r="AJ50" s="5"/>
      <c r="AK5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0" s="5"/>
      <c r="AM50" s="5"/>
      <c r="AN50" s="5"/>
      <c r="AO5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0" s="5"/>
      <c r="AQ5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0" s="5"/>
      <c r="AS50" s="5"/>
      <c r="AT5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0" s="5"/>
      <c r="AV5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0" s="5"/>
      <c r="AX50" s="5"/>
    </row>
    <row r="51" spans="1:50" ht="22.5" customHeight="1" x14ac:dyDescent="0.2">
      <c r="A51" s="3">
        <v>46050.891846261569</v>
      </c>
      <c r="B51" s="4" t="s">
        <v>181</v>
      </c>
      <c r="C5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5</v>
      </c>
      <c r="D51" s="4" t="s">
        <v>32</v>
      </c>
      <c r="E51" s="5">
        <f>IF(Form_Responses[[#This Row],[Q1: What is your gender?]]="Male",1, IF(Form_Responses[[#This Row],[Q1: What is your gender?]]="Female",2,IF(Form_Responses[[#This Row],[Q1: What is your gender?]]="Prefer not to say", 3,"")))</f>
        <v>1</v>
      </c>
      <c r="F51" s="4" t="s">
        <v>33</v>
      </c>
      <c r="G51" s="5">
        <f>IF(Form_Responses[[#This Row],[Q2:  What is your nationality?  ]]="Bhutanese (living in Bhutan)",1, IF(Form_Responses[[#This Row],[Q2:  What is your nationality?  ]]="Bhutanese (living outside Bhutan)",2, IF(Form_Responses[[#This Row],[Q2:  What is your nationality?  ]]="International resident",3, "")))</f>
        <v>1</v>
      </c>
      <c r="H51" s="4" t="s">
        <v>34</v>
      </c>
      <c r="I5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1" s="4" t="s">
        <v>36</v>
      </c>
      <c r="K51" s="5">
        <f>IF(Form_Responses[[#This Row],[Q1.  Would you ever consider investing in gold?]]="Yes",1, IF(Form_Responses[[#This Row],[Q1.  Would you ever consider investing in gold?]]="No",2, IF(Form_Responses[[#This Row],[Q1.  Would you ever consider investing in gold?]]="Maybe",3, "")))</f>
        <v>2</v>
      </c>
      <c r="L51" s="4" t="s">
        <v>36</v>
      </c>
      <c r="M5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51" s="5"/>
      <c r="O51" s="5"/>
      <c r="P51" s="4" t="s">
        <v>182</v>
      </c>
      <c r="Q51" s="4" t="s">
        <v>66</v>
      </c>
      <c r="R5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1</v>
      </c>
      <c r="S51" s="4" t="s">
        <v>35</v>
      </c>
      <c r="T51"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51" s="4" t="s">
        <v>35</v>
      </c>
      <c r="V51" s="5">
        <f>IF(Form_Responses[[#This Row],[Q2:   Are you interested in digital assets such as cryptocurrencies?  ]]="Yes",1, IF(Form_Responses[[#This Row],[Q2:   Are you interested in digital assets such as cryptocurrencies?  ]]="No",2,""))</f>
        <v>1</v>
      </c>
      <c r="W51" s="5"/>
      <c r="X5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1" s="5"/>
      <c r="Z51" s="4" t="s">
        <v>183</v>
      </c>
      <c r="AA51" s="4" t="s">
        <v>35</v>
      </c>
      <c r="AB51"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51" s="4" t="s">
        <v>68</v>
      </c>
      <c r="AD51"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51" s="4" t="s">
        <v>184</v>
      </c>
      <c r="AF51" s="5"/>
      <c r="AG51" s="5"/>
      <c r="AH51"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51" s="5"/>
      <c r="AJ51" s="5"/>
      <c r="AK5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1" s="5"/>
      <c r="AM51" s="5"/>
      <c r="AN51" s="5"/>
      <c r="AO5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1" s="5"/>
      <c r="AQ5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1" s="5"/>
      <c r="AS51" s="5"/>
      <c r="AT5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1" s="5"/>
      <c r="AV5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1" s="5"/>
      <c r="AX51" s="5"/>
    </row>
    <row r="52" spans="1:50" ht="22.5" customHeight="1" x14ac:dyDescent="0.2">
      <c r="A52" s="3">
        <v>46050.894381157406</v>
      </c>
      <c r="B52" s="4" t="s">
        <v>31</v>
      </c>
      <c r="C5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2" s="4" t="s">
        <v>63</v>
      </c>
      <c r="E52" s="5">
        <f>IF(Form_Responses[[#This Row],[Q1: What is your gender?]]="Male",1, IF(Form_Responses[[#This Row],[Q1: What is your gender?]]="Female",2,IF(Form_Responses[[#This Row],[Q1: What is your gender?]]="Prefer not to say", 3,"")))</f>
        <v>2</v>
      </c>
      <c r="F52" s="4" t="s">
        <v>185</v>
      </c>
      <c r="G52" s="5">
        <f>IF(Form_Responses[[#This Row],[Q2:  What is your nationality?  ]]="Bhutanese (living in Bhutan)",1, IF(Form_Responses[[#This Row],[Q2:  What is your nationality?  ]]="Bhutanese (living outside Bhutan)",2, IF(Form_Responses[[#This Row],[Q2:  What is your nationality?  ]]="International resident",3, "")))</f>
        <v>2</v>
      </c>
      <c r="H52" s="4" t="s">
        <v>56</v>
      </c>
      <c r="I5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52" s="4" t="s">
        <v>35</v>
      </c>
      <c r="K52" s="5">
        <f>IF(Form_Responses[[#This Row],[Q1.  Would you ever consider investing in gold?]]="Yes",1, IF(Form_Responses[[#This Row],[Q1.  Would you ever consider investing in gold?]]="No",2, IF(Form_Responses[[#This Row],[Q1.  Would you ever consider investing in gold?]]="Maybe",3, "")))</f>
        <v>1</v>
      </c>
      <c r="L52" s="4" t="s">
        <v>36</v>
      </c>
      <c r="M5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52" s="5"/>
      <c r="O52" s="5"/>
      <c r="P52" s="4" t="s">
        <v>186</v>
      </c>
      <c r="Q52" s="4" t="s">
        <v>38</v>
      </c>
      <c r="R5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52" s="5"/>
      <c r="T5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2" s="5"/>
      <c r="V52" s="5" t="str">
        <f>IF(Form_Responses[[#This Row],[Q2:   Are you interested in digital assets such as cryptocurrencies?  ]]="Yes",1, IF(Form_Responses[[#This Row],[Q2:   Are you interested in digital assets such as cryptocurrencies?  ]]="No",2,""))</f>
        <v/>
      </c>
      <c r="W52" s="5"/>
      <c r="X5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2" s="5"/>
      <c r="Z52" s="5"/>
      <c r="AA52" s="5"/>
      <c r="AB5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2" s="5"/>
      <c r="AD5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2" s="5"/>
      <c r="AF52" s="5"/>
      <c r="AG52" s="4" t="s">
        <v>39</v>
      </c>
      <c r="AH5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52" s="4">
        <v>2</v>
      </c>
      <c r="AJ52" s="4" t="s">
        <v>58</v>
      </c>
      <c r="AK5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52" s="4" t="s">
        <v>187</v>
      </c>
      <c r="AM52" s="5"/>
      <c r="AN52" s="5"/>
      <c r="AO5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2" s="5"/>
      <c r="AQ5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2" s="5"/>
      <c r="AS52" s="5"/>
      <c r="AT5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2" s="5"/>
      <c r="AV5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2" s="5"/>
      <c r="AX52" s="5"/>
    </row>
    <row r="53" spans="1:50" ht="22.5" customHeight="1" x14ac:dyDescent="0.2">
      <c r="A53" s="3">
        <v>46050.899464525464</v>
      </c>
      <c r="B53" s="4" t="s">
        <v>31</v>
      </c>
      <c r="C5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3" s="4" t="s">
        <v>32</v>
      </c>
      <c r="E53" s="5">
        <f>IF(Form_Responses[[#This Row],[Q1: What is your gender?]]="Male",1, IF(Form_Responses[[#This Row],[Q1: What is your gender?]]="Female",2,IF(Form_Responses[[#This Row],[Q1: What is your gender?]]="Prefer not to say", 3,"")))</f>
        <v>1</v>
      </c>
      <c r="F53" s="4" t="s">
        <v>33</v>
      </c>
      <c r="G53" s="5">
        <f>IF(Form_Responses[[#This Row],[Q2:  What is your nationality?  ]]="Bhutanese (living in Bhutan)",1, IF(Form_Responses[[#This Row],[Q2:  What is your nationality?  ]]="Bhutanese (living outside Bhutan)",2, IF(Form_Responses[[#This Row],[Q2:  What is your nationality?  ]]="International resident",3, "")))</f>
        <v>1</v>
      </c>
      <c r="H53" s="4" t="s">
        <v>34</v>
      </c>
      <c r="I5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3" s="4" t="s">
        <v>35</v>
      </c>
      <c r="K53" s="5">
        <f>IF(Form_Responses[[#This Row],[Q1.  Would you ever consider investing in gold?]]="Yes",1, IF(Form_Responses[[#This Row],[Q1.  Would you ever consider investing in gold?]]="No",2, IF(Form_Responses[[#This Row],[Q1.  Would you ever consider investing in gold?]]="Maybe",3, "")))</f>
        <v>1</v>
      </c>
      <c r="L53" s="4" t="s">
        <v>36</v>
      </c>
      <c r="M5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53" s="5"/>
      <c r="O53" s="5"/>
      <c r="P53" s="4" t="s">
        <v>188</v>
      </c>
      <c r="Q53" s="4" t="s">
        <v>84</v>
      </c>
      <c r="R5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53" s="5"/>
      <c r="T5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3" s="5"/>
      <c r="V53" s="5" t="str">
        <f>IF(Form_Responses[[#This Row],[Q2:   Are you interested in digital assets such as cryptocurrencies?  ]]="Yes",1, IF(Form_Responses[[#This Row],[Q2:   Are you interested in digital assets such as cryptocurrencies?  ]]="No",2,""))</f>
        <v/>
      </c>
      <c r="W53" s="5"/>
      <c r="X5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3" s="5"/>
      <c r="Z53" s="5"/>
      <c r="AA53" s="5"/>
      <c r="AB5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3" s="5"/>
      <c r="AD5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3" s="5"/>
      <c r="AF53" s="5"/>
      <c r="AG53" s="4" t="s">
        <v>108</v>
      </c>
      <c r="AH5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53" s="5"/>
      <c r="AJ53" s="5"/>
      <c r="AK5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3" s="5"/>
      <c r="AM53" s="4">
        <v>5</v>
      </c>
      <c r="AN53" s="4" t="s">
        <v>105</v>
      </c>
      <c r="AO53"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53" s="4" t="s">
        <v>124</v>
      </c>
      <c r="AQ53"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4</v>
      </c>
      <c r="AR53" s="4">
        <v>4</v>
      </c>
      <c r="AS53" s="4" t="s">
        <v>87</v>
      </c>
      <c r="AT53"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53" s="4" t="s">
        <v>68</v>
      </c>
      <c r="AV53"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53" s="4">
        <v>5</v>
      </c>
      <c r="AX53" s="4" t="s">
        <v>189</v>
      </c>
    </row>
    <row r="54" spans="1:50" ht="22.5" customHeight="1" x14ac:dyDescent="0.2">
      <c r="A54" s="3">
        <v>46050.910254571761</v>
      </c>
      <c r="B54" s="4" t="s">
        <v>31</v>
      </c>
      <c r="C5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4" s="4" t="s">
        <v>63</v>
      </c>
      <c r="E54" s="5">
        <f>IF(Form_Responses[[#This Row],[Q1: What is your gender?]]="Male",1, IF(Form_Responses[[#This Row],[Q1: What is your gender?]]="Female",2,IF(Form_Responses[[#This Row],[Q1: What is your gender?]]="Prefer not to say", 3,"")))</f>
        <v>2</v>
      </c>
      <c r="F54" s="4" t="s">
        <v>33</v>
      </c>
      <c r="G54" s="5">
        <f>IF(Form_Responses[[#This Row],[Q2:  What is your nationality?  ]]="Bhutanese (living in Bhutan)",1, IF(Form_Responses[[#This Row],[Q2:  What is your nationality?  ]]="Bhutanese (living outside Bhutan)",2, IF(Form_Responses[[#This Row],[Q2:  What is your nationality?  ]]="International resident",3, "")))</f>
        <v>1</v>
      </c>
      <c r="H54" s="4" t="s">
        <v>34</v>
      </c>
      <c r="I5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4" s="4" t="s">
        <v>35</v>
      </c>
      <c r="K54" s="5">
        <f>IF(Form_Responses[[#This Row],[Q1.  Would you ever consider investing in gold?]]="Yes",1, IF(Form_Responses[[#This Row],[Q1.  Would you ever consider investing in gold?]]="No",2, IF(Form_Responses[[#This Row],[Q1.  Would you ever consider investing in gold?]]="Maybe",3, "")))</f>
        <v>1</v>
      </c>
      <c r="L54" s="4" t="s">
        <v>35</v>
      </c>
      <c r="M54"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54" s="4" t="s">
        <v>190</v>
      </c>
      <c r="O54" s="4">
        <v>4</v>
      </c>
      <c r="P54" s="5"/>
      <c r="Q54" s="4" t="s">
        <v>38</v>
      </c>
      <c r="R5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54" s="5"/>
      <c r="T5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4" s="5"/>
      <c r="V54" s="5" t="str">
        <f>IF(Form_Responses[[#This Row],[Q2:   Are you interested in digital assets such as cryptocurrencies?  ]]="Yes",1, IF(Form_Responses[[#This Row],[Q2:   Are you interested in digital assets such as cryptocurrencies?  ]]="No",2,""))</f>
        <v/>
      </c>
      <c r="W54" s="5"/>
      <c r="X5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4" s="5"/>
      <c r="Z54" s="5"/>
      <c r="AA54" s="5"/>
      <c r="AB5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4" s="5"/>
      <c r="AD5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4" s="5"/>
      <c r="AF54" s="5"/>
      <c r="AG54" s="4" t="s">
        <v>43</v>
      </c>
      <c r="AH5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54" s="5"/>
      <c r="AJ54" s="5"/>
      <c r="AK5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4" s="5"/>
      <c r="AM54" s="4">
        <v>4</v>
      </c>
      <c r="AN54" s="4" t="s">
        <v>105</v>
      </c>
      <c r="AO54"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54" s="4" t="s">
        <v>130</v>
      </c>
      <c r="AQ54"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v>
      </c>
      <c r="AR54" s="4">
        <v>3</v>
      </c>
      <c r="AS54" s="4" t="s">
        <v>87</v>
      </c>
      <c r="AT54"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54" s="4" t="s">
        <v>68</v>
      </c>
      <c r="AV54"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54" s="4">
        <v>4</v>
      </c>
      <c r="AX54" s="4" t="s">
        <v>191</v>
      </c>
    </row>
    <row r="55" spans="1:50" ht="22.5" customHeight="1" x14ac:dyDescent="0.2">
      <c r="A55" s="3">
        <v>46050.936551261577</v>
      </c>
      <c r="B55" s="4" t="s">
        <v>31</v>
      </c>
      <c r="C5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5" s="4" t="s">
        <v>63</v>
      </c>
      <c r="E55" s="5">
        <f>IF(Form_Responses[[#This Row],[Q1: What is your gender?]]="Male",1, IF(Form_Responses[[#This Row],[Q1: What is your gender?]]="Female",2,IF(Form_Responses[[#This Row],[Q1: What is your gender?]]="Prefer not to say", 3,"")))</f>
        <v>2</v>
      </c>
      <c r="F55" s="4" t="s">
        <v>33</v>
      </c>
      <c r="G55" s="5">
        <f>IF(Form_Responses[[#This Row],[Q2:  What is your nationality?  ]]="Bhutanese (living in Bhutan)",1, IF(Form_Responses[[#This Row],[Q2:  What is your nationality?  ]]="Bhutanese (living outside Bhutan)",2, IF(Form_Responses[[#This Row],[Q2:  What is your nationality?  ]]="International resident",3, "")))</f>
        <v>1</v>
      </c>
      <c r="H55" s="4" t="s">
        <v>34</v>
      </c>
      <c r="I5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5" s="4" t="s">
        <v>35</v>
      </c>
      <c r="K55" s="5">
        <f>IF(Form_Responses[[#This Row],[Q1.  Would you ever consider investing in gold?]]="Yes",1, IF(Form_Responses[[#This Row],[Q1.  Would you ever consider investing in gold?]]="No",2, IF(Form_Responses[[#This Row],[Q1.  Would you ever consider investing in gold?]]="Maybe",3, "")))</f>
        <v>1</v>
      </c>
      <c r="L55" s="4" t="s">
        <v>36</v>
      </c>
      <c r="M5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55" s="5"/>
      <c r="O55" s="5"/>
      <c r="P55" s="4" t="s">
        <v>192</v>
      </c>
      <c r="Q55" s="4" t="s">
        <v>84</v>
      </c>
      <c r="R5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55" s="5"/>
      <c r="T5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5" s="5"/>
      <c r="V55" s="5" t="str">
        <f>IF(Form_Responses[[#This Row],[Q2:   Are you interested in digital assets such as cryptocurrencies?  ]]="Yes",1, IF(Form_Responses[[#This Row],[Q2:   Are you interested in digital assets such as cryptocurrencies?  ]]="No",2,""))</f>
        <v/>
      </c>
      <c r="W55" s="5"/>
      <c r="X5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5" s="5"/>
      <c r="Z55" s="5"/>
      <c r="AA55" s="5"/>
      <c r="AB5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5" s="5"/>
      <c r="AD5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5" s="5"/>
      <c r="AF55" s="5"/>
      <c r="AG55" s="4" t="s">
        <v>43</v>
      </c>
      <c r="AH5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55" s="5"/>
      <c r="AJ55" s="5"/>
      <c r="AK5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5" s="5"/>
      <c r="AM55" s="4">
        <v>4</v>
      </c>
      <c r="AN55" s="4" t="s">
        <v>85</v>
      </c>
      <c r="AO55"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7</v>
      </c>
      <c r="AP55" s="4" t="s">
        <v>168</v>
      </c>
      <c r="AQ55"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11</v>
      </c>
      <c r="AR55" s="4">
        <v>4</v>
      </c>
      <c r="AS55" s="4" t="s">
        <v>87</v>
      </c>
      <c r="AT55"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55" s="4" t="s">
        <v>125</v>
      </c>
      <c r="AV55"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55" s="4">
        <v>4</v>
      </c>
      <c r="AX55" s="4" t="s">
        <v>193</v>
      </c>
    </row>
    <row r="56" spans="1:50" ht="22.5" customHeight="1" x14ac:dyDescent="0.2">
      <c r="A56" s="3">
        <v>46050.955317905093</v>
      </c>
      <c r="B56" s="4" t="s">
        <v>31</v>
      </c>
      <c r="C5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56" s="4" t="s">
        <v>63</v>
      </c>
      <c r="E56" s="5">
        <f>IF(Form_Responses[[#This Row],[Q1: What is your gender?]]="Male",1, IF(Form_Responses[[#This Row],[Q1: What is your gender?]]="Female",2,IF(Form_Responses[[#This Row],[Q1: What is your gender?]]="Prefer not to say", 3,"")))</f>
        <v>2</v>
      </c>
      <c r="F56" s="4" t="s">
        <v>33</v>
      </c>
      <c r="G56" s="5">
        <f>IF(Form_Responses[[#This Row],[Q2:  What is your nationality?  ]]="Bhutanese (living in Bhutan)",1, IF(Form_Responses[[#This Row],[Q2:  What is your nationality?  ]]="Bhutanese (living outside Bhutan)",2, IF(Form_Responses[[#This Row],[Q2:  What is your nationality?  ]]="International resident",3, "")))</f>
        <v>1</v>
      </c>
      <c r="H56" s="4" t="s">
        <v>34</v>
      </c>
      <c r="I5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6" s="4" t="s">
        <v>35</v>
      </c>
      <c r="K56" s="5">
        <f>IF(Form_Responses[[#This Row],[Q1.  Would you ever consider investing in gold?]]="Yes",1, IF(Form_Responses[[#This Row],[Q1.  Would you ever consider investing in gold?]]="No",2, IF(Form_Responses[[#This Row],[Q1.  Would you ever consider investing in gold?]]="Maybe",3, "")))</f>
        <v>1</v>
      </c>
      <c r="L56" s="4" t="s">
        <v>35</v>
      </c>
      <c r="M56"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56" s="4" t="s">
        <v>53</v>
      </c>
      <c r="O56" s="4">
        <v>3</v>
      </c>
      <c r="P56" s="5"/>
      <c r="Q56" s="4" t="s">
        <v>84</v>
      </c>
      <c r="R5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56" s="5"/>
      <c r="T5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6" s="5"/>
      <c r="V56" s="5" t="str">
        <f>IF(Form_Responses[[#This Row],[Q2:   Are you interested in digital assets such as cryptocurrencies?  ]]="Yes",1, IF(Form_Responses[[#This Row],[Q2:   Are you interested in digital assets such as cryptocurrencies?  ]]="No",2,""))</f>
        <v/>
      </c>
      <c r="W56" s="5"/>
      <c r="X5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6" s="5"/>
      <c r="Z56" s="5"/>
      <c r="AA56" s="5"/>
      <c r="AB5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6" s="5"/>
      <c r="AD5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6" s="5"/>
      <c r="AF56" s="5"/>
      <c r="AG56" s="4" t="s">
        <v>39</v>
      </c>
      <c r="AH5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56" s="4">
        <v>4</v>
      </c>
      <c r="AJ56" s="4" t="s">
        <v>58</v>
      </c>
      <c r="AK5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56" s="4" t="s">
        <v>194</v>
      </c>
      <c r="AM56" s="5"/>
      <c r="AN56" s="5"/>
      <c r="AO5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6" s="5"/>
      <c r="AQ5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6" s="5"/>
      <c r="AS56" s="5"/>
      <c r="AT5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6" s="5"/>
      <c r="AV5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6" s="5"/>
      <c r="AX56" s="5"/>
    </row>
    <row r="57" spans="1:50" ht="22.5" customHeight="1" x14ac:dyDescent="0.2">
      <c r="A57" s="3">
        <v>46050.975175601852</v>
      </c>
      <c r="B57" s="4" t="s">
        <v>102</v>
      </c>
      <c r="C5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57" s="4" t="s">
        <v>32</v>
      </c>
      <c r="E57" s="5">
        <f>IF(Form_Responses[[#This Row],[Q1: What is your gender?]]="Male",1, IF(Form_Responses[[#This Row],[Q1: What is your gender?]]="Female",2,IF(Form_Responses[[#This Row],[Q1: What is your gender?]]="Prefer not to say", 3,"")))</f>
        <v>1</v>
      </c>
      <c r="F57" s="4" t="s">
        <v>33</v>
      </c>
      <c r="G57" s="5">
        <f>IF(Form_Responses[[#This Row],[Q2:  What is your nationality?  ]]="Bhutanese (living in Bhutan)",1, IF(Form_Responses[[#This Row],[Q2:  What is your nationality?  ]]="Bhutanese (living outside Bhutan)",2, IF(Form_Responses[[#This Row],[Q2:  What is your nationality?  ]]="International resident",3, "")))</f>
        <v>1</v>
      </c>
      <c r="H57" s="4" t="s">
        <v>195</v>
      </c>
      <c r="I5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4</v>
      </c>
      <c r="J57" s="4" t="s">
        <v>35</v>
      </c>
      <c r="K57" s="5">
        <f>IF(Form_Responses[[#This Row],[Q1.  Would you ever consider investing in gold?]]="Yes",1, IF(Form_Responses[[#This Row],[Q1.  Would you ever consider investing in gold?]]="No",2, IF(Form_Responses[[#This Row],[Q1.  Would you ever consider investing in gold?]]="Maybe",3, "")))</f>
        <v>1</v>
      </c>
      <c r="L57" s="4" t="s">
        <v>35</v>
      </c>
      <c r="M57"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57" s="4" t="s">
        <v>196</v>
      </c>
      <c r="O57" s="4">
        <v>4</v>
      </c>
      <c r="P57" s="5"/>
      <c r="Q57" s="4" t="s">
        <v>84</v>
      </c>
      <c r="R5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57" s="5"/>
      <c r="T5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7" s="5"/>
      <c r="V57" s="5" t="str">
        <f>IF(Form_Responses[[#This Row],[Q2:   Are you interested in digital assets such as cryptocurrencies?  ]]="Yes",1, IF(Form_Responses[[#This Row],[Q2:   Are you interested in digital assets such as cryptocurrencies?  ]]="No",2,""))</f>
        <v/>
      </c>
      <c r="W57" s="5"/>
      <c r="X5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7" s="5"/>
      <c r="Z57" s="5"/>
      <c r="AA57" s="5"/>
      <c r="AB5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7" s="5"/>
      <c r="AD5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7" s="5"/>
      <c r="AF57" s="5"/>
      <c r="AG57" s="4" t="s">
        <v>43</v>
      </c>
      <c r="AH5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57" s="5"/>
      <c r="AJ57" s="5"/>
      <c r="AK5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7" s="5"/>
      <c r="AM57" s="4">
        <v>5</v>
      </c>
      <c r="AN57" s="4" t="s">
        <v>197</v>
      </c>
      <c r="AO57"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13</v>
      </c>
      <c r="AP57" s="4" t="s">
        <v>86</v>
      </c>
      <c r="AQ57"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7</v>
      </c>
      <c r="AR57" s="4">
        <v>4</v>
      </c>
      <c r="AS57" s="4" t="s">
        <v>87</v>
      </c>
      <c r="AT57"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57" s="4" t="s">
        <v>125</v>
      </c>
      <c r="AV57"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57" s="4">
        <v>4</v>
      </c>
      <c r="AX57" s="4" t="s">
        <v>198</v>
      </c>
    </row>
    <row r="58" spans="1:50" ht="22.5" customHeight="1" x14ac:dyDescent="0.2">
      <c r="A58" s="3">
        <v>46051.032676168979</v>
      </c>
      <c r="B58" s="4" t="s">
        <v>145</v>
      </c>
      <c r="C5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58" s="4" t="s">
        <v>32</v>
      </c>
      <c r="E58" s="5">
        <f>IF(Form_Responses[[#This Row],[Q1: What is your gender?]]="Male",1, IF(Form_Responses[[#This Row],[Q1: What is your gender?]]="Female",2,IF(Form_Responses[[#This Row],[Q1: What is your gender?]]="Prefer not to say", 3,"")))</f>
        <v>1</v>
      </c>
      <c r="F58" s="4" t="s">
        <v>33</v>
      </c>
      <c r="G58" s="5">
        <f>IF(Form_Responses[[#This Row],[Q2:  What is your nationality?  ]]="Bhutanese (living in Bhutan)",1, IF(Form_Responses[[#This Row],[Q2:  What is your nationality?  ]]="Bhutanese (living outside Bhutan)",2, IF(Form_Responses[[#This Row],[Q2:  What is your nationality?  ]]="International resident",3, "")))</f>
        <v>1</v>
      </c>
      <c r="H58" s="4" t="s">
        <v>34</v>
      </c>
      <c r="I5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8" s="4" t="s">
        <v>60</v>
      </c>
      <c r="K58" s="5">
        <f>IF(Form_Responses[[#This Row],[Q1.  Would you ever consider investing in gold?]]="Yes",1, IF(Form_Responses[[#This Row],[Q1.  Would you ever consider investing in gold?]]="No",2, IF(Form_Responses[[#This Row],[Q1.  Would you ever consider investing in gold?]]="Maybe",3, "")))</f>
        <v>3</v>
      </c>
      <c r="L58" s="4" t="s">
        <v>36</v>
      </c>
      <c r="M5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58" s="5"/>
      <c r="O58" s="5"/>
      <c r="P58" s="4" t="s">
        <v>199</v>
      </c>
      <c r="Q58" s="4" t="s">
        <v>66</v>
      </c>
      <c r="R5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1</v>
      </c>
      <c r="S58" s="4" t="s">
        <v>60</v>
      </c>
      <c r="T58"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58" s="4" t="s">
        <v>35</v>
      </c>
      <c r="V58" s="5">
        <f>IF(Form_Responses[[#This Row],[Q2:   Are you interested in digital assets such as cryptocurrencies?  ]]="Yes",1, IF(Form_Responses[[#This Row],[Q2:   Are you interested in digital assets such as cryptocurrencies?  ]]="No",2,""))</f>
        <v>1</v>
      </c>
      <c r="W58" s="5"/>
      <c r="X5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8" s="5"/>
      <c r="Z58" s="4" t="s">
        <v>159</v>
      </c>
      <c r="AA58" s="4" t="s">
        <v>35</v>
      </c>
      <c r="AB58"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58" s="4" t="s">
        <v>92</v>
      </c>
      <c r="AD58"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6</v>
      </c>
      <c r="AE58" s="4" t="s">
        <v>200</v>
      </c>
      <c r="AF58" s="5"/>
      <c r="AG58" s="5"/>
      <c r="AH58"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58" s="5"/>
      <c r="AJ58" s="5"/>
      <c r="AK5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58" s="5"/>
      <c r="AM58" s="5"/>
      <c r="AN58" s="5"/>
      <c r="AO5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8" s="5"/>
      <c r="AQ5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8" s="5"/>
      <c r="AS58" s="5"/>
      <c r="AT5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8" s="5"/>
      <c r="AV5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8" s="5"/>
      <c r="AX58" s="5"/>
    </row>
    <row r="59" spans="1:50" ht="22.5" customHeight="1" x14ac:dyDescent="0.2">
      <c r="A59" s="3">
        <v>46051.29442046296</v>
      </c>
      <c r="B59" s="4" t="s">
        <v>102</v>
      </c>
      <c r="C5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59" s="4" t="s">
        <v>32</v>
      </c>
      <c r="E59" s="5">
        <f>IF(Form_Responses[[#This Row],[Q1: What is your gender?]]="Male",1, IF(Form_Responses[[#This Row],[Q1: What is your gender?]]="Female",2,IF(Form_Responses[[#This Row],[Q1: What is your gender?]]="Prefer not to say", 3,"")))</f>
        <v>1</v>
      </c>
      <c r="F59" s="4" t="s">
        <v>33</v>
      </c>
      <c r="G59" s="5">
        <f>IF(Form_Responses[[#This Row],[Q2:  What is your nationality?  ]]="Bhutanese (living in Bhutan)",1, IF(Form_Responses[[#This Row],[Q2:  What is your nationality?  ]]="Bhutanese (living outside Bhutan)",2, IF(Form_Responses[[#This Row],[Q2:  What is your nationality?  ]]="International resident",3, "")))</f>
        <v>1</v>
      </c>
      <c r="H59" s="4" t="s">
        <v>34</v>
      </c>
      <c r="I5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59" s="4" t="s">
        <v>35</v>
      </c>
      <c r="K59" s="5">
        <f>IF(Form_Responses[[#This Row],[Q1.  Would you ever consider investing in gold?]]="Yes",1, IF(Form_Responses[[#This Row],[Q1.  Would you ever consider investing in gold?]]="No",2, IF(Form_Responses[[#This Row],[Q1.  Would you ever consider investing in gold?]]="Maybe",3, "")))</f>
        <v>1</v>
      </c>
      <c r="L59" s="4" t="s">
        <v>35</v>
      </c>
      <c r="M59"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59" s="4" t="s">
        <v>201</v>
      </c>
      <c r="O59" s="4">
        <v>4</v>
      </c>
      <c r="P59" s="5"/>
      <c r="Q59" s="4" t="s">
        <v>38</v>
      </c>
      <c r="R5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59" s="5"/>
      <c r="T5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59" s="5"/>
      <c r="V59" s="5" t="str">
        <f>IF(Form_Responses[[#This Row],[Q2:   Are you interested in digital assets such as cryptocurrencies?  ]]="Yes",1, IF(Form_Responses[[#This Row],[Q2:   Are you interested in digital assets such as cryptocurrencies?  ]]="No",2,""))</f>
        <v/>
      </c>
      <c r="W59" s="5"/>
      <c r="X5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59" s="5"/>
      <c r="Z59" s="5"/>
      <c r="AA59" s="5"/>
      <c r="AB5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59" s="5"/>
      <c r="AD5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59" s="5"/>
      <c r="AF59" s="5"/>
      <c r="AG59" s="4" t="s">
        <v>39</v>
      </c>
      <c r="AH5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59" s="4">
        <v>5</v>
      </c>
      <c r="AJ59" s="4" t="s">
        <v>54</v>
      </c>
      <c r="AK59"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59" s="4" t="s">
        <v>202</v>
      </c>
      <c r="AM59" s="5"/>
      <c r="AN59" s="5"/>
      <c r="AO5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59" s="5"/>
      <c r="AQ5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59" s="5"/>
      <c r="AS59" s="5"/>
      <c r="AT5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59" s="5"/>
      <c r="AV5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59" s="5"/>
      <c r="AX59" s="5"/>
    </row>
    <row r="60" spans="1:50" ht="22.5" customHeight="1" x14ac:dyDescent="0.2">
      <c r="A60" s="3">
        <v>46051.346131620376</v>
      </c>
      <c r="B60" s="4" t="s">
        <v>31</v>
      </c>
      <c r="C6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0" s="4" t="s">
        <v>63</v>
      </c>
      <c r="E60" s="5">
        <f>IF(Form_Responses[[#This Row],[Q1: What is your gender?]]="Male",1, IF(Form_Responses[[#This Row],[Q1: What is your gender?]]="Female",2,IF(Form_Responses[[#This Row],[Q1: What is your gender?]]="Prefer not to say", 3,"")))</f>
        <v>2</v>
      </c>
      <c r="F60" s="4" t="s">
        <v>33</v>
      </c>
      <c r="G60" s="5">
        <f>IF(Form_Responses[[#This Row],[Q2:  What is your nationality?  ]]="Bhutanese (living in Bhutan)",1, IF(Form_Responses[[#This Row],[Q2:  What is your nationality?  ]]="Bhutanese (living outside Bhutan)",2, IF(Form_Responses[[#This Row],[Q2:  What is your nationality?  ]]="International resident",3, "")))</f>
        <v>1</v>
      </c>
      <c r="H60" s="4" t="s">
        <v>56</v>
      </c>
      <c r="I6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60" s="4" t="s">
        <v>35</v>
      </c>
      <c r="K60" s="5">
        <f>IF(Form_Responses[[#This Row],[Q1.  Would you ever consider investing in gold?]]="Yes",1, IF(Form_Responses[[#This Row],[Q1.  Would you ever consider investing in gold?]]="No",2, IF(Form_Responses[[#This Row],[Q1.  Would you ever consider investing in gold?]]="Maybe",3, "")))</f>
        <v>1</v>
      </c>
      <c r="L60" s="4" t="s">
        <v>35</v>
      </c>
      <c r="M60"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60" s="4" t="s">
        <v>53</v>
      </c>
      <c r="O60" s="4">
        <v>3</v>
      </c>
      <c r="P60" s="5"/>
      <c r="Q60" s="4" t="s">
        <v>84</v>
      </c>
      <c r="R6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60" s="5"/>
      <c r="T60"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0" s="5"/>
      <c r="V60" s="5" t="str">
        <f>IF(Form_Responses[[#This Row],[Q2:   Are you interested in digital assets such as cryptocurrencies?  ]]="Yes",1, IF(Form_Responses[[#This Row],[Q2:   Are you interested in digital assets such as cryptocurrencies?  ]]="No",2,""))</f>
        <v/>
      </c>
      <c r="W60" s="5"/>
      <c r="X6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0" s="5"/>
      <c r="Z60" s="5"/>
      <c r="AA60" s="5"/>
      <c r="AB60"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0" s="5"/>
      <c r="AD60"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0" s="5"/>
      <c r="AF60" s="5"/>
      <c r="AG60" s="4" t="s">
        <v>43</v>
      </c>
      <c r="AH60"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60" s="5"/>
      <c r="AJ60" s="5"/>
      <c r="AK6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0" s="5"/>
      <c r="AM60" s="4">
        <v>3</v>
      </c>
      <c r="AN60" s="4" t="s">
        <v>203</v>
      </c>
      <c r="AO60"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2</v>
      </c>
      <c r="AP60" s="4" t="s">
        <v>130</v>
      </c>
      <c r="AQ60"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v>
      </c>
      <c r="AR60" s="4">
        <v>4</v>
      </c>
      <c r="AS60" s="4" t="s">
        <v>87</v>
      </c>
      <c r="AT60"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60" s="4" t="s">
        <v>68</v>
      </c>
      <c r="AV60"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60" s="4">
        <v>3</v>
      </c>
      <c r="AX60" s="4" t="s">
        <v>204</v>
      </c>
    </row>
    <row r="61" spans="1:50" ht="22.5" customHeight="1" x14ac:dyDescent="0.2">
      <c r="A61" s="3">
        <v>46051.387431967596</v>
      </c>
      <c r="B61" s="4" t="s">
        <v>31</v>
      </c>
      <c r="C6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1" s="4" t="s">
        <v>63</v>
      </c>
      <c r="E61" s="5">
        <f>IF(Form_Responses[[#This Row],[Q1: What is your gender?]]="Male",1, IF(Form_Responses[[#This Row],[Q1: What is your gender?]]="Female",2,IF(Form_Responses[[#This Row],[Q1: What is your gender?]]="Prefer not to say", 3,"")))</f>
        <v>2</v>
      </c>
      <c r="F61" s="4" t="s">
        <v>33</v>
      </c>
      <c r="G61" s="5">
        <f>IF(Form_Responses[[#This Row],[Q2:  What is your nationality?  ]]="Bhutanese (living in Bhutan)",1, IF(Form_Responses[[#This Row],[Q2:  What is your nationality?  ]]="Bhutanese (living outside Bhutan)",2, IF(Form_Responses[[#This Row],[Q2:  What is your nationality?  ]]="International resident",3, "")))</f>
        <v>1</v>
      </c>
      <c r="H61" s="4" t="s">
        <v>56</v>
      </c>
      <c r="I6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61" s="4" t="s">
        <v>36</v>
      </c>
      <c r="K61" s="5">
        <f>IF(Form_Responses[[#This Row],[Q1.  Would you ever consider investing in gold?]]="Yes",1, IF(Form_Responses[[#This Row],[Q1.  Would you ever consider investing in gold?]]="No",2, IF(Form_Responses[[#This Row],[Q1.  Would you ever consider investing in gold?]]="Maybe",3, "")))</f>
        <v>2</v>
      </c>
      <c r="L61" s="4" t="s">
        <v>35</v>
      </c>
      <c r="M61"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61" s="4" t="s">
        <v>205</v>
      </c>
      <c r="O61" s="4">
        <v>4</v>
      </c>
      <c r="P61" s="5"/>
      <c r="Q61" s="4" t="s">
        <v>38</v>
      </c>
      <c r="R6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61" s="5"/>
      <c r="T6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1" s="5"/>
      <c r="V61" s="5" t="str">
        <f>IF(Form_Responses[[#This Row],[Q2:   Are you interested in digital assets such as cryptocurrencies?  ]]="Yes",1, IF(Form_Responses[[#This Row],[Q2:   Are you interested in digital assets such as cryptocurrencies?  ]]="No",2,""))</f>
        <v/>
      </c>
      <c r="W61" s="5"/>
      <c r="X6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1" s="5"/>
      <c r="Z61" s="5"/>
      <c r="AA61" s="5"/>
      <c r="AB6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1" s="5"/>
      <c r="AD6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1" s="5"/>
      <c r="AF61" s="5"/>
      <c r="AG61" s="4" t="s">
        <v>39</v>
      </c>
      <c r="AH6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61" s="4">
        <v>4</v>
      </c>
      <c r="AJ61" s="4" t="s">
        <v>58</v>
      </c>
      <c r="AK61"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61" s="4" t="s">
        <v>206</v>
      </c>
      <c r="AM61" s="5"/>
      <c r="AN61" s="5"/>
      <c r="AO6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1" s="5"/>
      <c r="AQ6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1" s="5"/>
      <c r="AS61" s="5"/>
      <c r="AT6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1" s="5"/>
      <c r="AV6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1" s="5"/>
      <c r="AX61" s="5"/>
    </row>
    <row r="62" spans="1:50" ht="22.5" customHeight="1" x14ac:dyDescent="0.2">
      <c r="A62" s="3">
        <v>46051.394937245372</v>
      </c>
      <c r="B62" s="4" t="s">
        <v>145</v>
      </c>
      <c r="C6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62" s="4" t="s">
        <v>118</v>
      </c>
      <c r="E62" s="5">
        <f>IF(Form_Responses[[#This Row],[Q1: What is your gender?]]="Male",1, IF(Form_Responses[[#This Row],[Q1: What is your gender?]]="Female",2,IF(Form_Responses[[#This Row],[Q1: What is your gender?]]="Prefer not to say", 3,"")))</f>
        <v>3</v>
      </c>
      <c r="F62" s="4" t="s">
        <v>33</v>
      </c>
      <c r="G62" s="5">
        <f>IF(Form_Responses[[#This Row],[Q2:  What is your nationality?  ]]="Bhutanese (living in Bhutan)",1, IF(Form_Responses[[#This Row],[Q2:  What is your nationality?  ]]="Bhutanese (living outside Bhutan)",2, IF(Form_Responses[[#This Row],[Q2:  What is your nationality?  ]]="International resident",3, "")))</f>
        <v>1</v>
      </c>
      <c r="H62" s="4" t="s">
        <v>52</v>
      </c>
      <c r="I6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62" s="4" t="s">
        <v>35</v>
      </c>
      <c r="K62" s="5">
        <f>IF(Form_Responses[[#This Row],[Q1.  Would you ever consider investing in gold?]]="Yes",1, IF(Form_Responses[[#This Row],[Q1.  Would you ever consider investing in gold?]]="No",2, IF(Form_Responses[[#This Row],[Q1.  Would you ever consider investing in gold?]]="Maybe",3, "")))</f>
        <v>1</v>
      </c>
      <c r="L62" s="4" t="s">
        <v>36</v>
      </c>
      <c r="M6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2" s="5"/>
      <c r="O62" s="5"/>
      <c r="P62" s="4" t="s">
        <v>207</v>
      </c>
      <c r="Q62" s="4" t="s">
        <v>80</v>
      </c>
      <c r="R6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62" s="4" t="s">
        <v>60</v>
      </c>
      <c r="T62"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62" s="4" t="s">
        <v>36</v>
      </c>
      <c r="V62" s="5">
        <f>IF(Form_Responses[[#This Row],[Q2:   Are you interested in digital assets such as cryptocurrencies?  ]]="Yes",1, IF(Form_Responses[[#This Row],[Q2:   Are you interested in digital assets such as cryptocurrencies?  ]]="No",2,""))</f>
        <v>2</v>
      </c>
      <c r="W62" s="4" t="s">
        <v>208</v>
      </c>
      <c r="X62"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4</v>
      </c>
      <c r="Y62" s="4" t="s">
        <v>159</v>
      </c>
      <c r="Z62" s="5"/>
      <c r="AA62" s="5"/>
      <c r="AB6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2" s="5"/>
      <c r="AD6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2" s="5"/>
      <c r="AF62" s="5"/>
      <c r="AG62" s="5"/>
      <c r="AH62"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62" s="5"/>
      <c r="AJ62" s="5"/>
      <c r="AK62"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2" s="5"/>
      <c r="AM62" s="5"/>
      <c r="AN62" s="5"/>
      <c r="AO6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2" s="5"/>
      <c r="AQ6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2" s="5"/>
      <c r="AS62" s="5"/>
      <c r="AT6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2" s="5"/>
      <c r="AV6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2" s="5"/>
      <c r="AX62" s="5"/>
    </row>
    <row r="63" spans="1:50" ht="22.5" customHeight="1" x14ac:dyDescent="0.2">
      <c r="A63" s="3">
        <v>46051.413354351855</v>
      </c>
      <c r="B63" s="4" t="s">
        <v>31</v>
      </c>
      <c r="C6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3" s="4" t="s">
        <v>63</v>
      </c>
      <c r="E63" s="5">
        <f>IF(Form_Responses[[#This Row],[Q1: What is your gender?]]="Male",1, IF(Form_Responses[[#This Row],[Q1: What is your gender?]]="Female",2,IF(Form_Responses[[#This Row],[Q1: What is your gender?]]="Prefer not to say", 3,"")))</f>
        <v>2</v>
      </c>
      <c r="F63" s="4" t="s">
        <v>185</v>
      </c>
      <c r="G63" s="5">
        <f>IF(Form_Responses[[#This Row],[Q2:  What is your nationality?  ]]="Bhutanese (living in Bhutan)",1, IF(Form_Responses[[#This Row],[Q2:  What is your nationality?  ]]="Bhutanese (living outside Bhutan)",2, IF(Form_Responses[[#This Row],[Q2:  What is your nationality?  ]]="International resident",3, "")))</f>
        <v>2</v>
      </c>
      <c r="H63" s="4" t="s">
        <v>56</v>
      </c>
      <c r="I6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63" s="4" t="s">
        <v>35</v>
      </c>
      <c r="K63" s="5">
        <f>IF(Form_Responses[[#This Row],[Q1.  Would you ever consider investing in gold?]]="Yes",1, IF(Form_Responses[[#This Row],[Q1.  Would you ever consider investing in gold?]]="No",2, IF(Form_Responses[[#This Row],[Q1.  Would you ever consider investing in gold?]]="Maybe",3, "")))</f>
        <v>1</v>
      </c>
      <c r="L63" s="4" t="s">
        <v>36</v>
      </c>
      <c r="M6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3" s="5"/>
      <c r="O63" s="5"/>
      <c r="P63" s="4" t="s">
        <v>209</v>
      </c>
      <c r="Q63" s="4" t="s">
        <v>38</v>
      </c>
      <c r="R6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63" s="5"/>
      <c r="T6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3" s="5"/>
      <c r="V63" s="5" t="str">
        <f>IF(Form_Responses[[#This Row],[Q2:   Are you interested in digital assets such as cryptocurrencies?  ]]="Yes",1, IF(Form_Responses[[#This Row],[Q2:   Are you interested in digital assets such as cryptocurrencies?  ]]="No",2,""))</f>
        <v/>
      </c>
      <c r="W63" s="5"/>
      <c r="X6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3" s="5"/>
      <c r="Z63" s="5"/>
      <c r="AA63" s="5"/>
      <c r="AB6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3" s="5"/>
      <c r="AD6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3" s="5"/>
      <c r="AF63" s="5"/>
      <c r="AG63" s="4" t="s">
        <v>108</v>
      </c>
      <c r="AH6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63" s="5"/>
      <c r="AJ63" s="5"/>
      <c r="AK6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3" s="5"/>
      <c r="AM63" s="4">
        <v>4</v>
      </c>
      <c r="AN63" s="4" t="s">
        <v>210</v>
      </c>
      <c r="AO63"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14</v>
      </c>
      <c r="AP63" s="4" t="s">
        <v>211</v>
      </c>
      <c r="AQ63"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13</v>
      </c>
      <c r="AR63" s="4">
        <v>1</v>
      </c>
      <c r="AS63" s="4" t="s">
        <v>87</v>
      </c>
      <c r="AT63"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63" s="4" t="s">
        <v>68</v>
      </c>
      <c r="AV63"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63" s="4">
        <v>4</v>
      </c>
      <c r="AX63" s="4" t="s">
        <v>212</v>
      </c>
    </row>
    <row r="64" spans="1:50" ht="22.5" customHeight="1" x14ac:dyDescent="0.2">
      <c r="A64" s="3">
        <v>46051.441168634265</v>
      </c>
      <c r="B64" s="4" t="s">
        <v>145</v>
      </c>
      <c r="C6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64" s="4" t="s">
        <v>32</v>
      </c>
      <c r="E64" s="5">
        <f>IF(Form_Responses[[#This Row],[Q1: What is your gender?]]="Male",1, IF(Form_Responses[[#This Row],[Q1: What is your gender?]]="Female",2,IF(Form_Responses[[#This Row],[Q1: What is your gender?]]="Prefer not to say", 3,"")))</f>
        <v>1</v>
      </c>
      <c r="F64" s="4" t="s">
        <v>33</v>
      </c>
      <c r="G64" s="5">
        <f>IF(Form_Responses[[#This Row],[Q2:  What is your nationality?  ]]="Bhutanese (living in Bhutan)",1, IF(Form_Responses[[#This Row],[Q2:  What is your nationality?  ]]="Bhutanese (living outside Bhutan)",2, IF(Form_Responses[[#This Row],[Q2:  What is your nationality?  ]]="International resident",3, "")))</f>
        <v>1</v>
      </c>
      <c r="H64" s="4" t="s">
        <v>56</v>
      </c>
      <c r="I6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64" s="4" t="s">
        <v>35</v>
      </c>
      <c r="K64" s="5">
        <f>IF(Form_Responses[[#This Row],[Q1.  Would you ever consider investing in gold?]]="Yes",1, IF(Form_Responses[[#This Row],[Q1.  Would you ever consider investing in gold?]]="No",2, IF(Form_Responses[[#This Row],[Q1.  Would you ever consider investing in gold?]]="Maybe",3, "")))</f>
        <v>1</v>
      </c>
      <c r="L64" s="4" t="s">
        <v>35</v>
      </c>
      <c r="M64"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64" s="4" t="s">
        <v>76</v>
      </c>
      <c r="O64" s="4">
        <v>4</v>
      </c>
      <c r="P64" s="5"/>
      <c r="Q64" s="4" t="s">
        <v>38</v>
      </c>
      <c r="R6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64" s="5"/>
      <c r="T6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4" s="5"/>
      <c r="V64" s="5" t="str">
        <f>IF(Form_Responses[[#This Row],[Q2:   Are you interested in digital assets such as cryptocurrencies?  ]]="Yes",1, IF(Form_Responses[[#This Row],[Q2:   Are you interested in digital assets such as cryptocurrencies?  ]]="No",2,""))</f>
        <v/>
      </c>
      <c r="W64" s="5"/>
      <c r="X6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4" s="5"/>
      <c r="Z64" s="5"/>
      <c r="AA64" s="5"/>
      <c r="AB6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4" s="5"/>
      <c r="AD6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4" s="5"/>
      <c r="AF64" s="5"/>
      <c r="AG64" s="4" t="s">
        <v>39</v>
      </c>
      <c r="AH6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64" s="4">
        <v>4</v>
      </c>
      <c r="AJ64" s="4" t="s">
        <v>54</v>
      </c>
      <c r="AK64"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64" s="4" t="s">
        <v>213</v>
      </c>
      <c r="AM64" s="5"/>
      <c r="AN64" s="5"/>
      <c r="AO6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4" s="5"/>
      <c r="AQ6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4" s="5"/>
      <c r="AS64" s="5"/>
      <c r="AT6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4" s="5"/>
      <c r="AV6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4" s="5"/>
      <c r="AX64" s="5"/>
    </row>
    <row r="65" spans="1:50" ht="22.5" customHeight="1" x14ac:dyDescent="0.2">
      <c r="A65" s="3">
        <v>46051.444635300926</v>
      </c>
      <c r="B65" s="4" t="s">
        <v>31</v>
      </c>
      <c r="C6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5" s="4" t="s">
        <v>63</v>
      </c>
      <c r="E65" s="5">
        <f>IF(Form_Responses[[#This Row],[Q1: What is your gender?]]="Male",1, IF(Form_Responses[[#This Row],[Q1: What is your gender?]]="Female",2,IF(Form_Responses[[#This Row],[Q1: What is your gender?]]="Prefer not to say", 3,"")))</f>
        <v>2</v>
      </c>
      <c r="F65" s="4" t="s">
        <v>185</v>
      </c>
      <c r="G65" s="5">
        <f>IF(Form_Responses[[#This Row],[Q2:  What is your nationality?  ]]="Bhutanese (living in Bhutan)",1, IF(Form_Responses[[#This Row],[Q2:  What is your nationality?  ]]="Bhutanese (living outside Bhutan)",2, IF(Form_Responses[[#This Row],[Q2:  What is your nationality?  ]]="International resident",3, "")))</f>
        <v>2</v>
      </c>
      <c r="H65" s="4" t="s">
        <v>34</v>
      </c>
      <c r="I6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65" s="4" t="s">
        <v>35</v>
      </c>
      <c r="K65" s="5">
        <f>IF(Form_Responses[[#This Row],[Q1.  Would you ever consider investing in gold?]]="Yes",1, IF(Form_Responses[[#This Row],[Q1.  Would you ever consider investing in gold?]]="No",2, IF(Form_Responses[[#This Row],[Q1.  Would you ever consider investing in gold?]]="Maybe",3, "")))</f>
        <v>1</v>
      </c>
      <c r="L65" s="4" t="s">
        <v>36</v>
      </c>
      <c r="M6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5" s="5"/>
      <c r="O65" s="5"/>
      <c r="P65" s="4" t="s">
        <v>214</v>
      </c>
      <c r="Q65" s="4" t="s">
        <v>80</v>
      </c>
      <c r="R6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65" s="4" t="s">
        <v>60</v>
      </c>
      <c r="T65"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65" s="4" t="s">
        <v>35</v>
      </c>
      <c r="V65" s="5">
        <f>IF(Form_Responses[[#This Row],[Q2:   Are you interested in digital assets such as cryptocurrencies?  ]]="Yes",1, IF(Form_Responses[[#This Row],[Q2:   Are you interested in digital assets such as cryptocurrencies?  ]]="No",2,""))</f>
        <v>1</v>
      </c>
      <c r="W65" s="5"/>
      <c r="X6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5" s="5"/>
      <c r="Z65" s="4" t="s">
        <v>215</v>
      </c>
      <c r="AA65" s="4" t="s">
        <v>35</v>
      </c>
      <c r="AB65"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65" s="4" t="s">
        <v>643</v>
      </c>
      <c r="AD65"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5</v>
      </c>
      <c r="AE65" s="4" t="s">
        <v>216</v>
      </c>
      <c r="AF65" s="5"/>
      <c r="AG65" s="5"/>
      <c r="AH65"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65" s="5"/>
      <c r="AJ65" s="5"/>
      <c r="AK6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5" s="5"/>
      <c r="AM65" s="5"/>
      <c r="AN65" s="5"/>
      <c r="AO6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5" s="5"/>
      <c r="AQ6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5" s="5"/>
      <c r="AS65" s="5"/>
      <c r="AT6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5" s="5"/>
      <c r="AV6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5" s="5"/>
      <c r="AX65" s="5"/>
    </row>
    <row r="66" spans="1:50" ht="22.5" customHeight="1" x14ac:dyDescent="0.2">
      <c r="A66" s="3">
        <v>46051.452156956017</v>
      </c>
      <c r="B66" s="4" t="s">
        <v>145</v>
      </c>
      <c r="C6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66" s="4" t="s">
        <v>32</v>
      </c>
      <c r="E66" s="5">
        <f>IF(Form_Responses[[#This Row],[Q1: What is your gender?]]="Male",1, IF(Form_Responses[[#This Row],[Q1: What is your gender?]]="Female",2,IF(Form_Responses[[#This Row],[Q1: What is your gender?]]="Prefer not to say", 3,"")))</f>
        <v>1</v>
      </c>
      <c r="F66" s="4" t="s">
        <v>33</v>
      </c>
      <c r="G66" s="5">
        <f>IF(Form_Responses[[#This Row],[Q2:  What is your nationality?  ]]="Bhutanese (living in Bhutan)",1, IF(Form_Responses[[#This Row],[Q2:  What is your nationality?  ]]="Bhutanese (living outside Bhutan)",2, IF(Form_Responses[[#This Row],[Q2:  What is your nationality?  ]]="International resident",3, "")))</f>
        <v>1</v>
      </c>
      <c r="H66" s="4" t="s">
        <v>56</v>
      </c>
      <c r="I6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66" s="4" t="s">
        <v>35</v>
      </c>
      <c r="K66" s="5">
        <f>IF(Form_Responses[[#This Row],[Q1.  Would you ever consider investing in gold?]]="Yes",1, IF(Form_Responses[[#This Row],[Q1.  Would you ever consider investing in gold?]]="No",2, IF(Form_Responses[[#This Row],[Q1.  Would you ever consider investing in gold?]]="Maybe",3, "")))</f>
        <v>1</v>
      </c>
      <c r="L66" s="4" t="s">
        <v>36</v>
      </c>
      <c r="M6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6" s="5"/>
      <c r="O66" s="5"/>
      <c r="P66" s="4" t="s">
        <v>217</v>
      </c>
      <c r="Q66" s="4" t="s">
        <v>84</v>
      </c>
      <c r="R6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66" s="5"/>
      <c r="T6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6" s="5"/>
      <c r="V66" s="5" t="str">
        <f>IF(Form_Responses[[#This Row],[Q2:   Are you interested in digital assets such as cryptocurrencies?  ]]="Yes",1, IF(Form_Responses[[#This Row],[Q2:   Are you interested in digital assets such as cryptocurrencies?  ]]="No",2,""))</f>
        <v/>
      </c>
      <c r="W66" s="5"/>
      <c r="X6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6" s="5"/>
      <c r="Z66" s="5"/>
      <c r="AA66" s="5"/>
      <c r="AB6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6" s="5"/>
      <c r="AD6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6" s="5"/>
      <c r="AF66" s="5"/>
      <c r="AG66" s="4" t="s">
        <v>39</v>
      </c>
      <c r="AH6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66" s="4">
        <v>3</v>
      </c>
      <c r="AJ66" s="4" t="s">
        <v>54</v>
      </c>
      <c r="AK6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66" s="4" t="s">
        <v>218</v>
      </c>
      <c r="AM66" s="5"/>
      <c r="AN66" s="5"/>
      <c r="AO6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6" s="5"/>
      <c r="AQ6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6" s="5"/>
      <c r="AS66" s="5"/>
      <c r="AT6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6" s="5"/>
      <c r="AV6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6" s="5"/>
      <c r="AX66" s="5"/>
    </row>
    <row r="67" spans="1:50" ht="22.5" customHeight="1" x14ac:dyDescent="0.2">
      <c r="A67" s="3">
        <v>46051.464836180559</v>
      </c>
      <c r="B67" s="4" t="s">
        <v>31</v>
      </c>
      <c r="C6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7" s="4" t="s">
        <v>32</v>
      </c>
      <c r="E67" s="5">
        <f>IF(Form_Responses[[#This Row],[Q1: What is your gender?]]="Male",1, IF(Form_Responses[[#This Row],[Q1: What is your gender?]]="Female",2,IF(Form_Responses[[#This Row],[Q1: What is your gender?]]="Prefer not to say", 3,"")))</f>
        <v>1</v>
      </c>
      <c r="F67" s="4" t="s">
        <v>33</v>
      </c>
      <c r="G67" s="5">
        <f>IF(Form_Responses[[#This Row],[Q2:  What is your nationality?  ]]="Bhutanese (living in Bhutan)",1, IF(Form_Responses[[#This Row],[Q2:  What is your nationality?  ]]="Bhutanese (living outside Bhutan)",2, IF(Form_Responses[[#This Row],[Q2:  What is your nationality?  ]]="International resident",3, "")))</f>
        <v>1</v>
      </c>
      <c r="H67" s="4" t="s">
        <v>34</v>
      </c>
      <c r="I6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67" s="4" t="s">
        <v>35</v>
      </c>
      <c r="K67" s="5">
        <f>IF(Form_Responses[[#This Row],[Q1.  Would you ever consider investing in gold?]]="Yes",1, IF(Form_Responses[[#This Row],[Q1.  Would you ever consider investing in gold?]]="No",2, IF(Form_Responses[[#This Row],[Q1.  Would you ever consider investing in gold?]]="Maybe",3, "")))</f>
        <v>1</v>
      </c>
      <c r="L67" s="4" t="s">
        <v>35</v>
      </c>
      <c r="M67"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67" s="4" t="s">
        <v>219</v>
      </c>
      <c r="O67" s="4">
        <v>5</v>
      </c>
      <c r="P67" s="5"/>
      <c r="Q67" s="4" t="s">
        <v>80</v>
      </c>
      <c r="R6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67" s="4" t="s">
        <v>60</v>
      </c>
      <c r="T67"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67" s="4" t="s">
        <v>35</v>
      </c>
      <c r="V67" s="5">
        <f>IF(Form_Responses[[#This Row],[Q2:   Are you interested in digital assets such as cryptocurrencies?  ]]="Yes",1, IF(Form_Responses[[#This Row],[Q2:   Are you interested in digital assets such as cryptocurrencies?  ]]="No",2,""))</f>
        <v>1</v>
      </c>
      <c r="W67" s="5"/>
      <c r="X6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7" s="5"/>
      <c r="Z67" s="4" t="s">
        <v>220</v>
      </c>
      <c r="AA67" s="4" t="s">
        <v>35</v>
      </c>
      <c r="AB67"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67" s="4" t="s">
        <v>92</v>
      </c>
      <c r="AD67"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6</v>
      </c>
      <c r="AE67" s="4" t="s">
        <v>167</v>
      </c>
      <c r="AF67" s="5"/>
      <c r="AG67" s="5"/>
      <c r="AH67"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67" s="5"/>
      <c r="AJ67" s="5"/>
      <c r="AK6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7" s="5"/>
      <c r="AM67" s="5"/>
      <c r="AN67" s="5"/>
      <c r="AO6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7" s="5"/>
      <c r="AQ6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7" s="5"/>
      <c r="AS67" s="5"/>
      <c r="AT6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7" s="5"/>
      <c r="AV6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7" s="5"/>
      <c r="AX67" s="5"/>
    </row>
    <row r="68" spans="1:50" ht="22.5" customHeight="1" x14ac:dyDescent="0.2">
      <c r="A68" s="3">
        <v>46051.48884907407</v>
      </c>
      <c r="B68" s="4" t="s">
        <v>31</v>
      </c>
      <c r="C6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8" s="4" t="s">
        <v>63</v>
      </c>
      <c r="E68" s="5">
        <f>IF(Form_Responses[[#This Row],[Q1: What is your gender?]]="Male",1, IF(Form_Responses[[#This Row],[Q1: What is your gender?]]="Female",2,IF(Form_Responses[[#This Row],[Q1: What is your gender?]]="Prefer not to say", 3,"")))</f>
        <v>2</v>
      </c>
      <c r="F68" s="4" t="s">
        <v>33</v>
      </c>
      <c r="G68" s="5">
        <f>IF(Form_Responses[[#This Row],[Q2:  What is your nationality?  ]]="Bhutanese (living in Bhutan)",1, IF(Form_Responses[[#This Row],[Q2:  What is your nationality?  ]]="Bhutanese (living outside Bhutan)",2, IF(Form_Responses[[#This Row],[Q2:  What is your nationality?  ]]="International resident",3, "")))</f>
        <v>1</v>
      </c>
      <c r="H68" s="4" t="s">
        <v>34</v>
      </c>
      <c r="I6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68" s="4" t="s">
        <v>35</v>
      </c>
      <c r="K68" s="5">
        <f>IF(Form_Responses[[#This Row],[Q1.  Would you ever consider investing in gold?]]="Yes",1, IF(Form_Responses[[#This Row],[Q1.  Would you ever consider investing in gold?]]="No",2, IF(Form_Responses[[#This Row],[Q1.  Would you ever consider investing in gold?]]="Maybe",3, "")))</f>
        <v>1</v>
      </c>
      <c r="L68" s="4" t="s">
        <v>36</v>
      </c>
      <c r="M6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8" s="5"/>
      <c r="O68" s="5"/>
      <c r="P68" s="4" t="s">
        <v>221</v>
      </c>
      <c r="Q68" s="4" t="s">
        <v>80</v>
      </c>
      <c r="R6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68" s="4" t="s">
        <v>60</v>
      </c>
      <c r="T68"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68" s="4" t="s">
        <v>36</v>
      </c>
      <c r="V68" s="5">
        <f>IF(Form_Responses[[#This Row],[Q2:   Are you interested in digital assets such as cryptocurrencies?  ]]="Yes",1, IF(Form_Responses[[#This Row],[Q2:   Are you interested in digital assets such as cryptocurrencies?  ]]="No",2,""))</f>
        <v>2</v>
      </c>
      <c r="W68" s="4" t="s">
        <v>180</v>
      </c>
      <c r="X68"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1</v>
      </c>
      <c r="Y68" s="4" t="s">
        <v>222</v>
      </c>
      <c r="Z68" s="5"/>
      <c r="AA68" s="5"/>
      <c r="AB6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8" s="5"/>
      <c r="AD6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8" s="5"/>
      <c r="AF68" s="5"/>
      <c r="AG68" s="5"/>
      <c r="AH68"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68" s="5"/>
      <c r="AJ68" s="5"/>
      <c r="AK6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8" s="5"/>
      <c r="AM68" s="5"/>
      <c r="AN68" s="5"/>
      <c r="AO6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68" s="5"/>
      <c r="AQ6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68" s="5"/>
      <c r="AS68" s="5"/>
      <c r="AT6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68" s="5"/>
      <c r="AV6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68" s="5"/>
      <c r="AX68" s="5"/>
    </row>
    <row r="69" spans="1:50" ht="22.5" customHeight="1" x14ac:dyDescent="0.2">
      <c r="A69" s="3">
        <v>46051.495648969911</v>
      </c>
      <c r="B69" s="4" t="s">
        <v>31</v>
      </c>
      <c r="C6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69" s="4" t="s">
        <v>32</v>
      </c>
      <c r="E69" s="5">
        <f>IF(Form_Responses[[#This Row],[Q1: What is your gender?]]="Male",1, IF(Form_Responses[[#This Row],[Q1: What is your gender?]]="Female",2,IF(Form_Responses[[#This Row],[Q1: What is your gender?]]="Prefer not to say", 3,"")))</f>
        <v>1</v>
      </c>
      <c r="F69" s="4" t="s">
        <v>33</v>
      </c>
      <c r="G69" s="5">
        <f>IF(Form_Responses[[#This Row],[Q2:  What is your nationality?  ]]="Bhutanese (living in Bhutan)",1, IF(Form_Responses[[#This Row],[Q2:  What is your nationality?  ]]="Bhutanese (living outside Bhutan)",2, IF(Form_Responses[[#This Row],[Q2:  What is your nationality?  ]]="International resident",3, "")))</f>
        <v>1</v>
      </c>
      <c r="H69" s="4" t="s">
        <v>52</v>
      </c>
      <c r="I6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69" s="4" t="s">
        <v>60</v>
      </c>
      <c r="K69" s="5">
        <f>IF(Form_Responses[[#This Row],[Q1.  Would you ever consider investing in gold?]]="Yes",1, IF(Form_Responses[[#This Row],[Q1.  Would you ever consider investing in gold?]]="No",2, IF(Form_Responses[[#This Row],[Q1.  Would you ever consider investing in gold?]]="Maybe",3, "")))</f>
        <v>3</v>
      </c>
      <c r="L69" s="4" t="s">
        <v>36</v>
      </c>
      <c r="M6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69" s="5"/>
      <c r="O69" s="5"/>
      <c r="P69" s="4" t="s">
        <v>223</v>
      </c>
      <c r="Q69" s="4" t="s">
        <v>84</v>
      </c>
      <c r="R6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69" s="5"/>
      <c r="T6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69" s="5"/>
      <c r="V69" s="5" t="str">
        <f>IF(Form_Responses[[#This Row],[Q2:   Are you interested in digital assets such as cryptocurrencies?  ]]="Yes",1, IF(Form_Responses[[#This Row],[Q2:   Are you interested in digital assets such as cryptocurrencies?  ]]="No",2,""))</f>
        <v/>
      </c>
      <c r="W69" s="5"/>
      <c r="X6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69" s="5"/>
      <c r="Z69" s="5"/>
      <c r="AA69" s="5"/>
      <c r="AB6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69" s="5"/>
      <c r="AD6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69" s="5"/>
      <c r="AF69" s="5"/>
      <c r="AG69" s="4" t="s">
        <v>43</v>
      </c>
      <c r="AH6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69" s="5"/>
      <c r="AJ69" s="5"/>
      <c r="AK6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69" s="5"/>
      <c r="AM69" s="4">
        <v>5</v>
      </c>
      <c r="AN69" s="4" t="s">
        <v>105</v>
      </c>
      <c r="AO69"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69" s="4" t="s">
        <v>124</v>
      </c>
      <c r="AQ69"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4</v>
      </c>
      <c r="AR69" s="4">
        <v>5</v>
      </c>
      <c r="AS69" s="4" t="s">
        <v>87</v>
      </c>
      <c r="AT69"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69" s="4" t="s">
        <v>68</v>
      </c>
      <c r="AV69"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69" s="4">
        <v>4</v>
      </c>
      <c r="AX69" s="4" t="s">
        <v>224</v>
      </c>
    </row>
    <row r="70" spans="1:50" ht="22.5" customHeight="1" x14ac:dyDescent="0.2">
      <c r="A70" s="3">
        <v>46051.505105729171</v>
      </c>
      <c r="B70" s="4" t="s">
        <v>31</v>
      </c>
      <c r="C7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0" s="4" t="s">
        <v>32</v>
      </c>
      <c r="E70" s="5">
        <f>IF(Form_Responses[[#This Row],[Q1: What is your gender?]]="Male",1, IF(Form_Responses[[#This Row],[Q1: What is your gender?]]="Female",2,IF(Form_Responses[[#This Row],[Q1: What is your gender?]]="Prefer not to say", 3,"")))</f>
        <v>1</v>
      </c>
      <c r="F70" s="4" t="s">
        <v>33</v>
      </c>
      <c r="G70" s="5">
        <f>IF(Form_Responses[[#This Row],[Q2:  What is your nationality?  ]]="Bhutanese (living in Bhutan)",1, IF(Form_Responses[[#This Row],[Q2:  What is your nationality?  ]]="Bhutanese (living outside Bhutan)",2, IF(Form_Responses[[#This Row],[Q2:  What is your nationality?  ]]="International resident",3, "")))</f>
        <v>1</v>
      </c>
      <c r="H70" s="4" t="s">
        <v>34</v>
      </c>
      <c r="I7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70" s="4" t="s">
        <v>35</v>
      </c>
      <c r="K70" s="5">
        <f>IF(Form_Responses[[#This Row],[Q1.  Would you ever consider investing in gold?]]="Yes",1, IF(Form_Responses[[#This Row],[Q1.  Would you ever consider investing in gold?]]="No",2, IF(Form_Responses[[#This Row],[Q1.  Would you ever consider investing in gold?]]="Maybe",3, "")))</f>
        <v>1</v>
      </c>
      <c r="L70" s="4" t="s">
        <v>36</v>
      </c>
      <c r="M7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0" s="5"/>
      <c r="O70" s="5"/>
      <c r="P70" s="4" t="s">
        <v>225</v>
      </c>
      <c r="Q70" s="4" t="s">
        <v>84</v>
      </c>
      <c r="R7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70" s="5"/>
      <c r="T70"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0" s="5"/>
      <c r="V70" s="5" t="str">
        <f>IF(Form_Responses[[#This Row],[Q2:   Are you interested in digital assets such as cryptocurrencies?  ]]="Yes",1, IF(Form_Responses[[#This Row],[Q2:   Are you interested in digital assets such as cryptocurrencies?  ]]="No",2,""))</f>
        <v/>
      </c>
      <c r="W70" s="5"/>
      <c r="X7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0" s="5"/>
      <c r="Z70" s="5"/>
      <c r="AA70" s="5"/>
      <c r="AB70"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0" s="5"/>
      <c r="AD70"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0" s="5"/>
      <c r="AF70" s="5"/>
      <c r="AG70" s="4" t="s">
        <v>39</v>
      </c>
      <c r="AH70"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70" s="4">
        <v>4</v>
      </c>
      <c r="AJ70" s="4" t="s">
        <v>58</v>
      </c>
      <c r="AK70"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70" s="4" t="s">
        <v>226</v>
      </c>
      <c r="AM70" s="5"/>
      <c r="AN70" s="5"/>
      <c r="AO7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0" s="5"/>
      <c r="AQ7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0" s="5"/>
      <c r="AS70" s="5"/>
      <c r="AT7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0" s="5"/>
      <c r="AV7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0" s="5"/>
      <c r="AX70" s="5"/>
    </row>
    <row r="71" spans="1:50" ht="22.5" customHeight="1" x14ac:dyDescent="0.2">
      <c r="A71" s="3">
        <v>46051.507369212966</v>
      </c>
      <c r="B71" s="4" t="s">
        <v>31</v>
      </c>
      <c r="C7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1" s="4" t="s">
        <v>32</v>
      </c>
      <c r="E71" s="5">
        <f>IF(Form_Responses[[#This Row],[Q1: What is your gender?]]="Male",1, IF(Form_Responses[[#This Row],[Q1: What is your gender?]]="Female",2,IF(Form_Responses[[#This Row],[Q1: What is your gender?]]="Prefer not to say", 3,"")))</f>
        <v>1</v>
      </c>
      <c r="F71" s="4" t="s">
        <v>185</v>
      </c>
      <c r="G71" s="5">
        <f>IF(Form_Responses[[#This Row],[Q2:  What is your nationality?  ]]="Bhutanese (living in Bhutan)",1, IF(Form_Responses[[#This Row],[Q2:  What is your nationality?  ]]="Bhutanese (living outside Bhutan)",2, IF(Form_Responses[[#This Row],[Q2:  What is your nationality?  ]]="International resident",3, "")))</f>
        <v>2</v>
      </c>
      <c r="H71" s="4" t="s">
        <v>56</v>
      </c>
      <c r="I7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71" s="4" t="s">
        <v>35</v>
      </c>
      <c r="K71" s="5">
        <f>IF(Form_Responses[[#This Row],[Q1.  Would you ever consider investing in gold?]]="Yes",1, IF(Form_Responses[[#This Row],[Q1.  Would you ever consider investing in gold?]]="No",2, IF(Form_Responses[[#This Row],[Q1.  Would you ever consider investing in gold?]]="Maybe",3, "")))</f>
        <v>1</v>
      </c>
      <c r="L71" s="4" t="s">
        <v>36</v>
      </c>
      <c r="M7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1" s="5"/>
      <c r="O71" s="5"/>
      <c r="P71" s="4" t="s">
        <v>227</v>
      </c>
      <c r="Q71" s="4" t="s">
        <v>80</v>
      </c>
      <c r="R7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71" s="4" t="s">
        <v>35</v>
      </c>
      <c r="T71"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71" s="4" t="s">
        <v>35</v>
      </c>
      <c r="V71" s="5">
        <f>IF(Form_Responses[[#This Row],[Q2:   Are you interested in digital assets such as cryptocurrencies?  ]]="Yes",1, IF(Form_Responses[[#This Row],[Q2:   Are you interested in digital assets such as cryptocurrencies?  ]]="No",2,""))</f>
        <v>1</v>
      </c>
      <c r="W71" s="5"/>
      <c r="X7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1" s="5"/>
      <c r="Z71" s="4" t="s">
        <v>228</v>
      </c>
      <c r="AA71" s="4" t="s">
        <v>35</v>
      </c>
      <c r="AB71"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71" s="4" t="s">
        <v>68</v>
      </c>
      <c r="AD71"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71" s="4" t="s">
        <v>229</v>
      </c>
      <c r="AF71" s="5"/>
      <c r="AG71" s="5"/>
      <c r="AH71"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71" s="5"/>
      <c r="AJ71" s="5"/>
      <c r="AK7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71" s="5"/>
      <c r="AM71" s="5"/>
      <c r="AN71" s="5"/>
      <c r="AO7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1" s="5"/>
      <c r="AQ7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1" s="5"/>
      <c r="AS71" s="5"/>
      <c r="AT7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1" s="5"/>
      <c r="AV7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1" s="5"/>
      <c r="AX71" s="5"/>
    </row>
    <row r="72" spans="1:50" ht="22.5" customHeight="1" x14ac:dyDescent="0.2">
      <c r="A72" s="3">
        <v>46051.509082534722</v>
      </c>
      <c r="B72" s="4" t="s">
        <v>31</v>
      </c>
      <c r="C7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2" s="4" t="s">
        <v>32</v>
      </c>
      <c r="E72" s="5">
        <f>IF(Form_Responses[[#This Row],[Q1: What is your gender?]]="Male",1, IF(Form_Responses[[#This Row],[Q1: What is your gender?]]="Female",2,IF(Form_Responses[[#This Row],[Q1: What is your gender?]]="Prefer not to say", 3,"")))</f>
        <v>1</v>
      </c>
      <c r="F72" s="4" t="s">
        <v>33</v>
      </c>
      <c r="G72" s="5">
        <f>IF(Form_Responses[[#This Row],[Q2:  What is your nationality?  ]]="Bhutanese (living in Bhutan)",1, IF(Form_Responses[[#This Row],[Q2:  What is your nationality?  ]]="Bhutanese (living outside Bhutan)",2, IF(Form_Responses[[#This Row],[Q2:  What is your nationality?  ]]="International resident",3, "")))</f>
        <v>1</v>
      </c>
      <c r="H72" s="4" t="s">
        <v>52</v>
      </c>
      <c r="I7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72" s="4" t="s">
        <v>35</v>
      </c>
      <c r="K72" s="5">
        <f>IF(Form_Responses[[#This Row],[Q1.  Would you ever consider investing in gold?]]="Yes",1, IF(Form_Responses[[#This Row],[Q1.  Would you ever consider investing in gold?]]="No",2, IF(Form_Responses[[#This Row],[Q1.  Would you ever consider investing in gold?]]="Maybe",3, "")))</f>
        <v>1</v>
      </c>
      <c r="L72" s="4" t="s">
        <v>36</v>
      </c>
      <c r="M7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2" s="5"/>
      <c r="O72" s="5"/>
      <c r="P72" s="4" t="s">
        <v>230</v>
      </c>
      <c r="Q72" s="4" t="s">
        <v>38</v>
      </c>
      <c r="R7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72" s="5"/>
      <c r="T7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2" s="5"/>
      <c r="V72" s="5" t="str">
        <f>IF(Form_Responses[[#This Row],[Q2:   Are you interested in digital assets such as cryptocurrencies?  ]]="Yes",1, IF(Form_Responses[[#This Row],[Q2:   Are you interested in digital assets such as cryptocurrencies?  ]]="No",2,""))</f>
        <v/>
      </c>
      <c r="W72" s="5"/>
      <c r="X7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2" s="5"/>
      <c r="Z72" s="5"/>
      <c r="AA72" s="5"/>
      <c r="AB7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2" s="5"/>
      <c r="AD7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2" s="5"/>
      <c r="AF72" s="5"/>
      <c r="AG72" s="4" t="s">
        <v>39</v>
      </c>
      <c r="AH7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72" s="4">
        <v>4</v>
      </c>
      <c r="AJ72" s="4" t="s">
        <v>58</v>
      </c>
      <c r="AK7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72" s="4" t="s">
        <v>231</v>
      </c>
      <c r="AM72" s="5"/>
      <c r="AN72" s="5"/>
      <c r="AO7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2" s="5"/>
      <c r="AQ7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2" s="5"/>
      <c r="AS72" s="5"/>
      <c r="AT7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2" s="5"/>
      <c r="AV7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2" s="5"/>
      <c r="AX72" s="5"/>
    </row>
    <row r="73" spans="1:50" ht="22.5" customHeight="1" x14ac:dyDescent="0.2">
      <c r="A73" s="3">
        <v>46051.51339043981</v>
      </c>
      <c r="B73" s="4" t="s">
        <v>31</v>
      </c>
      <c r="C7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3" s="4" t="s">
        <v>32</v>
      </c>
      <c r="E73" s="5">
        <f>IF(Form_Responses[[#This Row],[Q1: What is your gender?]]="Male",1, IF(Form_Responses[[#This Row],[Q1: What is your gender?]]="Female",2,IF(Form_Responses[[#This Row],[Q1: What is your gender?]]="Prefer not to say", 3,"")))</f>
        <v>1</v>
      </c>
      <c r="F73" s="4" t="s">
        <v>33</v>
      </c>
      <c r="G73" s="5">
        <f>IF(Form_Responses[[#This Row],[Q2:  What is your nationality?  ]]="Bhutanese (living in Bhutan)",1, IF(Form_Responses[[#This Row],[Q2:  What is your nationality?  ]]="Bhutanese (living outside Bhutan)",2, IF(Form_Responses[[#This Row],[Q2:  What is your nationality?  ]]="International resident",3, "")))</f>
        <v>1</v>
      </c>
      <c r="H73" s="4" t="s">
        <v>52</v>
      </c>
      <c r="I7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73" s="4" t="s">
        <v>60</v>
      </c>
      <c r="K73" s="5">
        <f>IF(Form_Responses[[#This Row],[Q1.  Would you ever consider investing in gold?]]="Yes",1, IF(Form_Responses[[#This Row],[Q1.  Would you ever consider investing in gold?]]="No",2, IF(Form_Responses[[#This Row],[Q1.  Would you ever consider investing in gold?]]="Maybe",3, "")))</f>
        <v>3</v>
      </c>
      <c r="L73" s="4" t="s">
        <v>36</v>
      </c>
      <c r="M7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3" s="5"/>
      <c r="O73" s="5"/>
      <c r="P73" s="4" t="s">
        <v>232</v>
      </c>
      <c r="Q73" s="4" t="s">
        <v>80</v>
      </c>
      <c r="R7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73" s="4" t="s">
        <v>60</v>
      </c>
      <c r="T73"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73" s="4" t="s">
        <v>36</v>
      </c>
      <c r="V73" s="5">
        <f>IF(Form_Responses[[#This Row],[Q2:   Are you interested in digital assets such as cryptocurrencies?  ]]="Yes",1, IF(Form_Responses[[#This Row],[Q2:   Are you interested in digital assets such as cryptocurrencies?  ]]="No",2,""))</f>
        <v>2</v>
      </c>
      <c r="W73" s="4" t="s">
        <v>180</v>
      </c>
      <c r="X73"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1</v>
      </c>
      <c r="Y73" s="4" t="s">
        <v>233</v>
      </c>
      <c r="Z73" s="5"/>
      <c r="AA73" s="5"/>
      <c r="AB7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3" s="5"/>
      <c r="AD7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3" s="5"/>
      <c r="AF73" s="5"/>
      <c r="AG73" s="5"/>
      <c r="AH73"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73" s="5"/>
      <c r="AJ73" s="5"/>
      <c r="AK7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73" s="5"/>
      <c r="AM73" s="5"/>
      <c r="AN73" s="5"/>
      <c r="AO7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3" s="5"/>
      <c r="AQ7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3" s="5"/>
      <c r="AS73" s="5"/>
      <c r="AT7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3" s="5"/>
      <c r="AV7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3" s="5"/>
      <c r="AX73" s="5"/>
    </row>
    <row r="74" spans="1:50" ht="22.5" customHeight="1" x14ac:dyDescent="0.2">
      <c r="A74" s="3">
        <v>46051.603950983801</v>
      </c>
      <c r="B74" s="4" t="s">
        <v>31</v>
      </c>
      <c r="C7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4" s="4" t="s">
        <v>63</v>
      </c>
      <c r="E74" s="5">
        <f>IF(Form_Responses[[#This Row],[Q1: What is your gender?]]="Male",1, IF(Form_Responses[[#This Row],[Q1: What is your gender?]]="Female",2,IF(Form_Responses[[#This Row],[Q1: What is your gender?]]="Prefer not to say", 3,"")))</f>
        <v>2</v>
      </c>
      <c r="F74" s="4" t="s">
        <v>33</v>
      </c>
      <c r="G74" s="5">
        <f>IF(Form_Responses[[#This Row],[Q2:  What is your nationality?  ]]="Bhutanese (living in Bhutan)",1, IF(Form_Responses[[#This Row],[Q2:  What is your nationality?  ]]="Bhutanese (living outside Bhutan)",2, IF(Form_Responses[[#This Row],[Q2:  What is your nationality?  ]]="International resident",3, "")))</f>
        <v>1</v>
      </c>
      <c r="H74" s="4" t="s">
        <v>34</v>
      </c>
      <c r="I7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74" s="4" t="s">
        <v>35</v>
      </c>
      <c r="K74" s="5">
        <f>IF(Form_Responses[[#This Row],[Q1.  Would you ever consider investing in gold?]]="Yes",1, IF(Form_Responses[[#This Row],[Q1.  Would you ever consider investing in gold?]]="No",2, IF(Form_Responses[[#This Row],[Q1.  Would you ever consider investing in gold?]]="Maybe",3, "")))</f>
        <v>1</v>
      </c>
      <c r="L74" s="4" t="s">
        <v>36</v>
      </c>
      <c r="M74"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4" s="5"/>
      <c r="O74" s="5"/>
      <c r="P74" s="4" t="s">
        <v>234</v>
      </c>
      <c r="Q74" s="4" t="s">
        <v>84</v>
      </c>
      <c r="R7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74" s="5"/>
      <c r="T7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4" s="5"/>
      <c r="V74" s="5" t="str">
        <f>IF(Form_Responses[[#This Row],[Q2:   Are you interested in digital assets such as cryptocurrencies?  ]]="Yes",1, IF(Form_Responses[[#This Row],[Q2:   Are you interested in digital assets such as cryptocurrencies?  ]]="No",2,""))</f>
        <v/>
      </c>
      <c r="W74" s="5"/>
      <c r="X7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4" s="5"/>
      <c r="Z74" s="5"/>
      <c r="AA74" s="5"/>
      <c r="AB7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4" s="5"/>
      <c r="AD7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4" s="5"/>
      <c r="AF74" s="5"/>
      <c r="AG74" s="4" t="s">
        <v>43</v>
      </c>
      <c r="AH7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74" s="5"/>
      <c r="AJ74" s="5"/>
      <c r="AK7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74" s="5"/>
      <c r="AM74" s="4">
        <v>4</v>
      </c>
      <c r="AN74" s="4" t="s">
        <v>129</v>
      </c>
      <c r="AO74"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10</v>
      </c>
      <c r="AP74" s="4" t="s">
        <v>45</v>
      </c>
      <c r="AQ74"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6</v>
      </c>
      <c r="AR74" s="4">
        <v>2</v>
      </c>
      <c r="AS74" s="4" t="s">
        <v>87</v>
      </c>
      <c r="AT74"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74" s="4" t="s">
        <v>88</v>
      </c>
      <c r="AV74"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2</v>
      </c>
      <c r="AW74" s="4">
        <v>4</v>
      </c>
      <c r="AX74" s="4" t="s">
        <v>235</v>
      </c>
    </row>
    <row r="75" spans="1:50" ht="22.5" customHeight="1" x14ac:dyDescent="0.2">
      <c r="A75" s="3">
        <v>46051.739445729167</v>
      </c>
      <c r="B75" s="4" t="s">
        <v>102</v>
      </c>
      <c r="C7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75" s="4" t="s">
        <v>32</v>
      </c>
      <c r="E75" s="5">
        <f>IF(Form_Responses[[#This Row],[Q1: What is your gender?]]="Male",1, IF(Form_Responses[[#This Row],[Q1: What is your gender?]]="Female",2,IF(Form_Responses[[#This Row],[Q1: What is your gender?]]="Prefer not to say", 3,"")))</f>
        <v>1</v>
      </c>
      <c r="F75" s="4" t="s">
        <v>33</v>
      </c>
      <c r="G75" s="5">
        <f>IF(Form_Responses[[#This Row],[Q2:  What is your nationality?  ]]="Bhutanese (living in Bhutan)",1, IF(Form_Responses[[#This Row],[Q2:  What is your nationality?  ]]="Bhutanese (living outside Bhutan)",2, IF(Form_Responses[[#This Row],[Q2:  What is your nationality?  ]]="International resident",3, "")))</f>
        <v>1</v>
      </c>
      <c r="H75" s="4" t="s">
        <v>195</v>
      </c>
      <c r="I7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4</v>
      </c>
      <c r="J75" s="4" t="s">
        <v>35</v>
      </c>
      <c r="K75" s="5">
        <f>IF(Form_Responses[[#This Row],[Q1.  Would you ever consider investing in gold?]]="Yes",1, IF(Form_Responses[[#This Row],[Q1.  Would you ever consider investing in gold?]]="No",2, IF(Form_Responses[[#This Row],[Q1.  Would you ever consider investing in gold?]]="Maybe",3, "")))</f>
        <v>1</v>
      </c>
      <c r="L75" s="4" t="s">
        <v>36</v>
      </c>
      <c r="M7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5" s="5"/>
      <c r="O75" s="5"/>
      <c r="P75" s="4" t="s">
        <v>236</v>
      </c>
      <c r="Q75" s="4" t="s">
        <v>38</v>
      </c>
      <c r="R7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75" s="5"/>
      <c r="T7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5" s="5"/>
      <c r="V75" s="5" t="str">
        <f>IF(Form_Responses[[#This Row],[Q2:   Are you interested in digital assets such as cryptocurrencies?  ]]="Yes",1, IF(Form_Responses[[#This Row],[Q2:   Are you interested in digital assets such as cryptocurrencies?  ]]="No",2,""))</f>
        <v/>
      </c>
      <c r="W75" s="5"/>
      <c r="X7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5" s="5"/>
      <c r="Z75" s="5"/>
      <c r="AA75" s="5"/>
      <c r="AB7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5" s="5"/>
      <c r="AD7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5" s="5"/>
      <c r="AF75" s="5"/>
      <c r="AG75" s="4" t="s">
        <v>39</v>
      </c>
      <c r="AH7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75" s="4">
        <v>5</v>
      </c>
      <c r="AJ75" s="4" t="s">
        <v>54</v>
      </c>
      <c r="AK75"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75" s="4" t="s">
        <v>237</v>
      </c>
      <c r="AM75" s="5"/>
      <c r="AN75" s="5"/>
      <c r="AO7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5" s="5"/>
      <c r="AQ7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5" s="5"/>
      <c r="AS75" s="5"/>
      <c r="AT7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5" s="5"/>
      <c r="AV7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5" s="5"/>
      <c r="AX75" s="5"/>
    </row>
    <row r="76" spans="1:50" ht="22.5" customHeight="1" x14ac:dyDescent="0.2">
      <c r="A76" s="3">
        <v>46051.777118784725</v>
      </c>
      <c r="B76" s="4" t="s">
        <v>31</v>
      </c>
      <c r="C7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6" s="4" t="s">
        <v>63</v>
      </c>
      <c r="E76" s="5">
        <f>IF(Form_Responses[[#This Row],[Q1: What is your gender?]]="Male",1, IF(Form_Responses[[#This Row],[Q1: What is your gender?]]="Female",2,IF(Form_Responses[[#This Row],[Q1: What is your gender?]]="Prefer not to say", 3,"")))</f>
        <v>2</v>
      </c>
      <c r="F76" s="4" t="s">
        <v>185</v>
      </c>
      <c r="G76" s="5">
        <f>IF(Form_Responses[[#This Row],[Q2:  What is your nationality?  ]]="Bhutanese (living in Bhutan)",1, IF(Form_Responses[[#This Row],[Q2:  What is your nationality?  ]]="Bhutanese (living outside Bhutan)",2, IF(Form_Responses[[#This Row],[Q2:  What is your nationality?  ]]="International resident",3, "")))</f>
        <v>2</v>
      </c>
      <c r="H76" s="4" t="s">
        <v>56</v>
      </c>
      <c r="I7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76" s="4" t="s">
        <v>35</v>
      </c>
      <c r="K76" s="5">
        <f>IF(Form_Responses[[#This Row],[Q1.  Would you ever consider investing in gold?]]="Yes",1, IF(Form_Responses[[#This Row],[Q1.  Would you ever consider investing in gold?]]="No",2, IF(Form_Responses[[#This Row],[Q1.  Would you ever consider investing in gold?]]="Maybe",3, "")))</f>
        <v>1</v>
      </c>
      <c r="L76" s="4" t="s">
        <v>35</v>
      </c>
      <c r="M76"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76" s="4" t="s">
        <v>238</v>
      </c>
      <c r="O76" s="4">
        <v>3</v>
      </c>
      <c r="P76" s="5"/>
      <c r="Q76" s="4" t="s">
        <v>38</v>
      </c>
      <c r="R7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76" s="5"/>
      <c r="T7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6" s="5"/>
      <c r="V76" s="5" t="str">
        <f>IF(Form_Responses[[#This Row],[Q2:   Are you interested in digital assets such as cryptocurrencies?  ]]="Yes",1, IF(Form_Responses[[#This Row],[Q2:   Are you interested in digital assets such as cryptocurrencies?  ]]="No",2,""))</f>
        <v/>
      </c>
      <c r="W76" s="5"/>
      <c r="X7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6" s="5"/>
      <c r="Z76" s="5"/>
      <c r="AA76" s="5"/>
      <c r="AB7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6" s="5"/>
      <c r="AD7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6" s="5"/>
      <c r="AF76" s="5"/>
      <c r="AG76" s="4" t="s">
        <v>39</v>
      </c>
      <c r="AH7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76" s="4">
        <v>5</v>
      </c>
      <c r="AJ76" s="4" t="s">
        <v>54</v>
      </c>
      <c r="AK7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76" s="4" t="s">
        <v>239</v>
      </c>
      <c r="AM76" s="5"/>
      <c r="AN76" s="5"/>
      <c r="AO7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6" s="5"/>
      <c r="AQ7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6" s="5"/>
      <c r="AS76" s="5"/>
      <c r="AT7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6" s="5"/>
      <c r="AV7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6" s="5"/>
      <c r="AX76" s="5"/>
    </row>
    <row r="77" spans="1:50" ht="22.5" customHeight="1" x14ac:dyDescent="0.2">
      <c r="A77" s="3">
        <v>46052.37713090278</v>
      </c>
      <c r="B77" s="4" t="s">
        <v>31</v>
      </c>
      <c r="C7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7" s="4" t="s">
        <v>63</v>
      </c>
      <c r="E77" s="5">
        <f>IF(Form_Responses[[#This Row],[Q1: What is your gender?]]="Male",1, IF(Form_Responses[[#This Row],[Q1: What is your gender?]]="Female",2,IF(Form_Responses[[#This Row],[Q1: What is your gender?]]="Prefer not to say", 3,"")))</f>
        <v>2</v>
      </c>
      <c r="F77" s="4" t="s">
        <v>33</v>
      </c>
      <c r="G77" s="5">
        <f>IF(Form_Responses[[#This Row],[Q2:  What is your nationality?  ]]="Bhutanese (living in Bhutan)",1, IF(Form_Responses[[#This Row],[Q2:  What is your nationality?  ]]="Bhutanese (living outside Bhutan)",2, IF(Form_Responses[[#This Row],[Q2:  What is your nationality?  ]]="International resident",3, "")))</f>
        <v>1</v>
      </c>
      <c r="H77" s="4" t="s">
        <v>34</v>
      </c>
      <c r="I7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77" s="4" t="s">
        <v>35</v>
      </c>
      <c r="K77" s="5">
        <f>IF(Form_Responses[[#This Row],[Q1.  Would you ever consider investing in gold?]]="Yes",1, IF(Form_Responses[[#This Row],[Q1.  Would you ever consider investing in gold?]]="No",2, IF(Form_Responses[[#This Row],[Q1.  Would you ever consider investing in gold?]]="Maybe",3, "")))</f>
        <v>1</v>
      </c>
      <c r="L77" s="4" t="s">
        <v>35</v>
      </c>
      <c r="M77"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77" s="4" t="s">
        <v>53</v>
      </c>
      <c r="O77" s="4">
        <v>4</v>
      </c>
      <c r="P77" s="5"/>
      <c r="Q77" s="4" t="s">
        <v>38</v>
      </c>
      <c r="R7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77" s="5"/>
      <c r="T7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7" s="5"/>
      <c r="V77" s="5" t="str">
        <f>IF(Form_Responses[[#This Row],[Q2:   Are you interested in digital assets such as cryptocurrencies?  ]]="Yes",1, IF(Form_Responses[[#This Row],[Q2:   Are you interested in digital assets such as cryptocurrencies?  ]]="No",2,""))</f>
        <v/>
      </c>
      <c r="W77" s="5"/>
      <c r="X7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7" s="5"/>
      <c r="Z77" s="5"/>
      <c r="AA77" s="5"/>
      <c r="AB7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7" s="5"/>
      <c r="AD7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7" s="5"/>
      <c r="AF77" s="5"/>
      <c r="AG77" s="4" t="s">
        <v>43</v>
      </c>
      <c r="AH7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77" s="5"/>
      <c r="AJ77" s="5"/>
      <c r="AK7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77" s="5"/>
      <c r="AM77" s="4">
        <v>4</v>
      </c>
      <c r="AN77" s="4" t="s">
        <v>105</v>
      </c>
      <c r="AO77"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77" s="4" t="s">
        <v>124</v>
      </c>
      <c r="AQ77"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4</v>
      </c>
      <c r="AR77" s="4">
        <v>4</v>
      </c>
      <c r="AS77" s="4" t="s">
        <v>87</v>
      </c>
      <c r="AT77"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77" s="4" t="s">
        <v>68</v>
      </c>
      <c r="AV77"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77" s="4">
        <v>4</v>
      </c>
      <c r="AX77" s="4" t="s">
        <v>240</v>
      </c>
    </row>
    <row r="78" spans="1:50" ht="22.5" customHeight="1" x14ac:dyDescent="0.2">
      <c r="A78" s="3">
        <v>46052.384366956016</v>
      </c>
      <c r="B78" s="4" t="s">
        <v>31</v>
      </c>
      <c r="C7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8" s="4" t="s">
        <v>63</v>
      </c>
      <c r="E78" s="5">
        <f>IF(Form_Responses[[#This Row],[Q1: What is your gender?]]="Male",1, IF(Form_Responses[[#This Row],[Q1: What is your gender?]]="Female",2,IF(Form_Responses[[#This Row],[Q1: What is your gender?]]="Prefer not to say", 3,"")))</f>
        <v>2</v>
      </c>
      <c r="F78" s="4" t="s">
        <v>33</v>
      </c>
      <c r="G78" s="5">
        <f>IF(Form_Responses[[#This Row],[Q2:  What is your nationality?  ]]="Bhutanese (living in Bhutan)",1, IF(Form_Responses[[#This Row],[Q2:  What is your nationality?  ]]="Bhutanese (living outside Bhutan)",2, IF(Form_Responses[[#This Row],[Q2:  What is your nationality?  ]]="International resident",3, "")))</f>
        <v>1</v>
      </c>
      <c r="H78" s="4" t="s">
        <v>241</v>
      </c>
      <c r="I7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78" s="4" t="s">
        <v>60</v>
      </c>
      <c r="K78" s="5">
        <f>IF(Form_Responses[[#This Row],[Q1.  Would you ever consider investing in gold?]]="Yes",1, IF(Form_Responses[[#This Row],[Q1.  Would you ever consider investing in gold?]]="No",2, IF(Form_Responses[[#This Row],[Q1.  Would you ever consider investing in gold?]]="Maybe",3, "")))</f>
        <v>3</v>
      </c>
      <c r="L78" s="4" t="s">
        <v>36</v>
      </c>
      <c r="M7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78" s="5"/>
      <c r="O78" s="5"/>
      <c r="P78" s="4" t="s">
        <v>242</v>
      </c>
      <c r="Q78" s="4" t="s">
        <v>38</v>
      </c>
      <c r="R7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78" s="5"/>
      <c r="T7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8" s="5"/>
      <c r="V78" s="5" t="str">
        <f>IF(Form_Responses[[#This Row],[Q2:   Are you interested in digital assets such as cryptocurrencies?  ]]="Yes",1, IF(Form_Responses[[#This Row],[Q2:   Are you interested in digital assets such as cryptocurrencies?  ]]="No",2,""))</f>
        <v/>
      </c>
      <c r="W78" s="5"/>
      <c r="X7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8" s="5"/>
      <c r="Z78" s="5"/>
      <c r="AA78" s="5"/>
      <c r="AB7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8" s="5"/>
      <c r="AD7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8" s="5"/>
      <c r="AF78" s="5"/>
      <c r="AG78" s="4" t="s">
        <v>72</v>
      </c>
      <c r="AH78"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1</v>
      </c>
      <c r="AI78" s="4">
        <v>3</v>
      </c>
      <c r="AJ78" s="4" t="s">
        <v>40</v>
      </c>
      <c r="AK78"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78" s="4" t="s">
        <v>243</v>
      </c>
      <c r="AM78" s="5"/>
      <c r="AN78" s="5"/>
      <c r="AO7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78" s="5"/>
      <c r="AQ7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78" s="5"/>
      <c r="AS78" s="5"/>
      <c r="AT7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78" s="5"/>
      <c r="AV7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78" s="5"/>
      <c r="AX78" s="5"/>
    </row>
    <row r="79" spans="1:50" ht="22.5" customHeight="1" x14ac:dyDescent="0.2">
      <c r="A79" s="3">
        <v>46052.38459188657</v>
      </c>
      <c r="B79" s="4" t="s">
        <v>31</v>
      </c>
      <c r="C7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79" s="4" t="s">
        <v>63</v>
      </c>
      <c r="E79" s="5">
        <f>IF(Form_Responses[[#This Row],[Q1: What is your gender?]]="Male",1, IF(Form_Responses[[#This Row],[Q1: What is your gender?]]="Female",2,IF(Form_Responses[[#This Row],[Q1: What is your gender?]]="Prefer not to say", 3,"")))</f>
        <v>2</v>
      </c>
      <c r="F79" s="4" t="s">
        <v>33</v>
      </c>
      <c r="G79" s="5">
        <f>IF(Form_Responses[[#This Row],[Q2:  What is your nationality?  ]]="Bhutanese (living in Bhutan)",1, IF(Form_Responses[[#This Row],[Q2:  What is your nationality?  ]]="Bhutanese (living outside Bhutan)",2, IF(Form_Responses[[#This Row],[Q2:  What is your nationality?  ]]="International resident",3, "")))</f>
        <v>1</v>
      </c>
      <c r="H79" s="4" t="s">
        <v>34</v>
      </c>
      <c r="I7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79" s="4" t="s">
        <v>35</v>
      </c>
      <c r="K79" s="5">
        <f>IF(Form_Responses[[#This Row],[Q1.  Would you ever consider investing in gold?]]="Yes",1, IF(Form_Responses[[#This Row],[Q1.  Would you ever consider investing in gold?]]="No",2, IF(Form_Responses[[#This Row],[Q1.  Would you ever consider investing in gold?]]="Maybe",3, "")))</f>
        <v>1</v>
      </c>
      <c r="L79" s="4" t="s">
        <v>35</v>
      </c>
      <c r="M79"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79" s="4" t="s">
        <v>53</v>
      </c>
      <c r="O79" s="4">
        <v>5</v>
      </c>
      <c r="P79" s="5"/>
      <c r="Q79" s="4" t="s">
        <v>107</v>
      </c>
      <c r="R7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5</v>
      </c>
      <c r="S79" s="5"/>
      <c r="T7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79" s="5"/>
      <c r="V79" s="5" t="str">
        <f>IF(Form_Responses[[#This Row],[Q2:   Are you interested in digital assets such as cryptocurrencies?  ]]="Yes",1, IF(Form_Responses[[#This Row],[Q2:   Are you interested in digital assets such as cryptocurrencies?  ]]="No",2,""))</f>
        <v/>
      </c>
      <c r="W79" s="5"/>
      <c r="X7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79" s="5"/>
      <c r="Z79" s="5"/>
      <c r="AA79" s="5"/>
      <c r="AB7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79" s="5"/>
      <c r="AD7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79" s="5"/>
      <c r="AF79" s="5"/>
      <c r="AG79" s="4" t="s">
        <v>108</v>
      </c>
      <c r="AH7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4</v>
      </c>
      <c r="AI79" s="5"/>
      <c r="AJ79" s="5"/>
      <c r="AK7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79" s="5"/>
      <c r="AM79" s="4">
        <v>4</v>
      </c>
      <c r="AN79" s="4" t="s">
        <v>244</v>
      </c>
      <c r="AO79"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15</v>
      </c>
      <c r="AP79" s="4" t="s">
        <v>110</v>
      </c>
      <c r="AQ79"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8</v>
      </c>
      <c r="AR79" s="4">
        <v>4</v>
      </c>
      <c r="AS79" s="4" t="s">
        <v>87</v>
      </c>
      <c r="AT79"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79" s="4" t="s">
        <v>47</v>
      </c>
      <c r="AV79"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79" s="4">
        <v>4</v>
      </c>
      <c r="AX79" s="4" t="s">
        <v>111</v>
      </c>
    </row>
    <row r="80" spans="1:50" ht="22.5" customHeight="1" x14ac:dyDescent="0.2">
      <c r="A80" s="3">
        <v>46052.395281655088</v>
      </c>
      <c r="B80" s="4" t="s">
        <v>31</v>
      </c>
      <c r="C8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0" s="4" t="s">
        <v>63</v>
      </c>
      <c r="E80" s="5">
        <f>IF(Form_Responses[[#This Row],[Q1: What is your gender?]]="Male",1, IF(Form_Responses[[#This Row],[Q1: What is your gender?]]="Female",2,IF(Form_Responses[[#This Row],[Q1: What is your gender?]]="Prefer not to say", 3,"")))</f>
        <v>2</v>
      </c>
      <c r="F80" s="4" t="s">
        <v>33</v>
      </c>
      <c r="G80" s="5">
        <f>IF(Form_Responses[[#This Row],[Q2:  What is your nationality?  ]]="Bhutanese (living in Bhutan)",1, IF(Form_Responses[[#This Row],[Q2:  What is your nationality?  ]]="Bhutanese (living outside Bhutan)",2, IF(Form_Responses[[#This Row],[Q2:  What is your nationality?  ]]="International resident",3, "")))</f>
        <v>1</v>
      </c>
      <c r="H80" s="4" t="s">
        <v>34</v>
      </c>
      <c r="I8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80" s="4" t="s">
        <v>60</v>
      </c>
      <c r="K80" s="5">
        <f>IF(Form_Responses[[#This Row],[Q1.  Would you ever consider investing in gold?]]="Yes",1, IF(Form_Responses[[#This Row],[Q1.  Would you ever consider investing in gold?]]="No",2, IF(Form_Responses[[#This Row],[Q1.  Would you ever consider investing in gold?]]="Maybe",3, "")))</f>
        <v>3</v>
      </c>
      <c r="L80" s="4" t="s">
        <v>36</v>
      </c>
      <c r="M8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0" s="5"/>
      <c r="O80" s="5"/>
      <c r="P80" s="4" t="s">
        <v>245</v>
      </c>
      <c r="Q80" s="4" t="s">
        <v>80</v>
      </c>
      <c r="R8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80" s="4" t="s">
        <v>60</v>
      </c>
      <c r="T8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80" s="4" t="s">
        <v>35</v>
      </c>
      <c r="V80" s="5">
        <f>IF(Form_Responses[[#This Row],[Q2:   Are you interested in digital assets such as cryptocurrencies?  ]]="Yes",1, IF(Form_Responses[[#This Row],[Q2:   Are you interested in digital assets such as cryptocurrencies?  ]]="No",2,""))</f>
        <v>1</v>
      </c>
      <c r="W80" s="5"/>
      <c r="X8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0" s="5"/>
      <c r="Z80" s="4" t="s">
        <v>133</v>
      </c>
      <c r="AA80" s="4" t="s">
        <v>60</v>
      </c>
      <c r="AB80"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80" s="4" t="s">
        <v>82</v>
      </c>
      <c r="AD80"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5</v>
      </c>
      <c r="AE80" s="4" t="s">
        <v>156</v>
      </c>
      <c r="AF80" s="5"/>
      <c r="AG80" s="5"/>
      <c r="AH8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80" s="5"/>
      <c r="AJ80" s="5"/>
      <c r="AK8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80" s="5"/>
      <c r="AM80" s="5"/>
      <c r="AN80" s="5"/>
      <c r="AO8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0" s="5"/>
      <c r="AQ8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0" s="5"/>
      <c r="AS80" s="5"/>
      <c r="AT8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0" s="5"/>
      <c r="AV8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0" s="5"/>
      <c r="AX80" s="5"/>
    </row>
    <row r="81" spans="1:50" ht="22.5" customHeight="1" x14ac:dyDescent="0.2">
      <c r="A81" s="3">
        <v>46052.415040312495</v>
      </c>
      <c r="B81" s="4" t="s">
        <v>31</v>
      </c>
      <c r="C8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1" s="4" t="s">
        <v>63</v>
      </c>
      <c r="E81" s="5">
        <f>IF(Form_Responses[[#This Row],[Q1: What is your gender?]]="Male",1, IF(Form_Responses[[#This Row],[Q1: What is your gender?]]="Female",2,IF(Form_Responses[[#This Row],[Q1: What is your gender?]]="Prefer not to say", 3,"")))</f>
        <v>2</v>
      </c>
      <c r="F81" s="4" t="s">
        <v>33</v>
      </c>
      <c r="G81" s="5">
        <f>IF(Form_Responses[[#This Row],[Q2:  What is your nationality?  ]]="Bhutanese (living in Bhutan)",1, IF(Form_Responses[[#This Row],[Q2:  What is your nationality?  ]]="Bhutanese (living outside Bhutan)",2, IF(Form_Responses[[#This Row],[Q2:  What is your nationality?  ]]="International resident",3, "")))</f>
        <v>1</v>
      </c>
      <c r="H81" s="4" t="s">
        <v>34</v>
      </c>
      <c r="I8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81" s="4" t="s">
        <v>35</v>
      </c>
      <c r="K81" s="5">
        <f>IF(Form_Responses[[#This Row],[Q1.  Would you ever consider investing in gold?]]="Yes",1, IF(Form_Responses[[#This Row],[Q1.  Would you ever consider investing in gold?]]="No",2, IF(Form_Responses[[#This Row],[Q1.  Would you ever consider investing in gold?]]="Maybe",3, "")))</f>
        <v>1</v>
      </c>
      <c r="L81" s="4" t="s">
        <v>36</v>
      </c>
      <c r="M8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1" s="5"/>
      <c r="O81" s="5"/>
      <c r="P81" s="4" t="s">
        <v>246</v>
      </c>
      <c r="Q81" s="4" t="s">
        <v>84</v>
      </c>
      <c r="R8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81" s="5"/>
      <c r="T8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1" s="5"/>
      <c r="V81" s="5" t="str">
        <f>IF(Form_Responses[[#This Row],[Q2:   Are you interested in digital assets such as cryptocurrencies?  ]]="Yes",1, IF(Form_Responses[[#This Row],[Q2:   Are you interested in digital assets such as cryptocurrencies?  ]]="No",2,""))</f>
        <v/>
      </c>
      <c r="W81" s="5"/>
      <c r="X8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1" s="5"/>
      <c r="Z81" s="5"/>
      <c r="AA81" s="5"/>
      <c r="AB8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1" s="5"/>
      <c r="AD8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1" s="5"/>
      <c r="AF81" s="5"/>
      <c r="AG81" s="4" t="s">
        <v>43</v>
      </c>
      <c r="AH8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81" s="5"/>
      <c r="AJ81" s="5"/>
      <c r="AK8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81" s="5"/>
      <c r="AM81" s="4">
        <v>4</v>
      </c>
      <c r="AN81" s="4" t="s">
        <v>247</v>
      </c>
      <c r="AO81"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16</v>
      </c>
      <c r="AP81" s="4" t="s">
        <v>86</v>
      </c>
      <c r="AQ81"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7</v>
      </c>
      <c r="AR81" s="4">
        <v>4</v>
      </c>
      <c r="AS81" s="4" t="s">
        <v>87</v>
      </c>
      <c r="AT81"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81" s="4" t="s">
        <v>125</v>
      </c>
      <c r="AV81"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81" s="4">
        <v>4</v>
      </c>
      <c r="AX81" s="4" t="s">
        <v>133</v>
      </c>
    </row>
    <row r="82" spans="1:50" ht="22.5" customHeight="1" x14ac:dyDescent="0.2">
      <c r="A82" s="3">
        <v>46052.422848668983</v>
      </c>
      <c r="B82" s="4" t="s">
        <v>31</v>
      </c>
      <c r="C8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2" s="4" t="s">
        <v>32</v>
      </c>
      <c r="E82" s="5">
        <f>IF(Form_Responses[[#This Row],[Q1: What is your gender?]]="Male",1, IF(Form_Responses[[#This Row],[Q1: What is your gender?]]="Female",2,IF(Form_Responses[[#This Row],[Q1: What is your gender?]]="Prefer not to say", 3,"")))</f>
        <v>1</v>
      </c>
      <c r="F82" s="4" t="s">
        <v>33</v>
      </c>
      <c r="G82" s="5">
        <f>IF(Form_Responses[[#This Row],[Q2:  What is your nationality?  ]]="Bhutanese (living in Bhutan)",1, IF(Form_Responses[[#This Row],[Q2:  What is your nationality?  ]]="Bhutanese (living outside Bhutan)",2, IF(Form_Responses[[#This Row],[Q2:  What is your nationality?  ]]="International resident",3, "")))</f>
        <v>1</v>
      </c>
      <c r="H82" s="4" t="s">
        <v>34</v>
      </c>
      <c r="I8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82" s="4" t="s">
        <v>35</v>
      </c>
      <c r="K82" s="5">
        <f>IF(Form_Responses[[#This Row],[Q1.  Would you ever consider investing in gold?]]="Yes",1, IF(Form_Responses[[#This Row],[Q1.  Would you ever consider investing in gold?]]="No",2, IF(Form_Responses[[#This Row],[Q1.  Would you ever consider investing in gold?]]="Maybe",3, "")))</f>
        <v>1</v>
      </c>
      <c r="L82" s="4" t="s">
        <v>35</v>
      </c>
      <c r="M82"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82" s="4" t="s">
        <v>53</v>
      </c>
      <c r="O82" s="4">
        <v>2</v>
      </c>
      <c r="P82" s="5"/>
      <c r="Q82" s="4" t="s">
        <v>38</v>
      </c>
      <c r="R8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82" s="5"/>
      <c r="T8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2" s="5"/>
      <c r="V82" s="5" t="str">
        <f>IF(Form_Responses[[#This Row],[Q2:   Are you interested in digital assets such as cryptocurrencies?  ]]="Yes",1, IF(Form_Responses[[#This Row],[Q2:   Are you interested in digital assets such as cryptocurrencies?  ]]="No",2,""))</f>
        <v/>
      </c>
      <c r="W82" s="5"/>
      <c r="X8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2" s="5"/>
      <c r="Z82" s="5"/>
      <c r="AA82" s="5"/>
      <c r="AB8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2" s="5"/>
      <c r="AD8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2" s="5"/>
      <c r="AF82" s="5"/>
      <c r="AG82" s="4" t="s">
        <v>39</v>
      </c>
      <c r="AH8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82" s="4">
        <v>4</v>
      </c>
      <c r="AJ82" s="4" t="s">
        <v>54</v>
      </c>
      <c r="AK8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82" s="4" t="s">
        <v>248</v>
      </c>
      <c r="AM82" s="5"/>
      <c r="AN82" s="5"/>
      <c r="AO8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2" s="5"/>
      <c r="AQ8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2" s="5"/>
      <c r="AS82" s="5"/>
      <c r="AT8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2" s="5"/>
      <c r="AV8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2" s="5"/>
      <c r="AX82" s="5"/>
    </row>
    <row r="83" spans="1:50" ht="22.5" customHeight="1" x14ac:dyDescent="0.2">
      <c r="A83" s="3">
        <v>46052.49105725695</v>
      </c>
      <c r="B83" s="4" t="s">
        <v>31</v>
      </c>
      <c r="C8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3" s="4" t="s">
        <v>32</v>
      </c>
      <c r="E83" s="5">
        <f>IF(Form_Responses[[#This Row],[Q1: What is your gender?]]="Male",1, IF(Form_Responses[[#This Row],[Q1: What is your gender?]]="Female",2,IF(Form_Responses[[#This Row],[Q1: What is your gender?]]="Prefer not to say", 3,"")))</f>
        <v>1</v>
      </c>
      <c r="F83" s="4" t="s">
        <v>33</v>
      </c>
      <c r="G83" s="5">
        <f>IF(Form_Responses[[#This Row],[Q2:  What is your nationality?  ]]="Bhutanese (living in Bhutan)",1, IF(Form_Responses[[#This Row],[Q2:  What is your nationality?  ]]="Bhutanese (living outside Bhutan)",2, IF(Form_Responses[[#This Row],[Q2:  What is your nationality?  ]]="International resident",3, "")))</f>
        <v>1</v>
      </c>
      <c r="H83" s="4" t="s">
        <v>34</v>
      </c>
      <c r="I8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83" s="4" t="s">
        <v>35</v>
      </c>
      <c r="K83" s="5">
        <f>IF(Form_Responses[[#This Row],[Q1.  Would you ever consider investing in gold?]]="Yes",1, IF(Form_Responses[[#This Row],[Q1.  Would you ever consider investing in gold?]]="No",2, IF(Form_Responses[[#This Row],[Q1.  Would you ever consider investing in gold?]]="Maybe",3, "")))</f>
        <v>1</v>
      </c>
      <c r="L83" s="4" t="s">
        <v>35</v>
      </c>
      <c r="M83"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83" s="4" t="s">
        <v>249</v>
      </c>
      <c r="O83" s="4">
        <v>3</v>
      </c>
      <c r="P83" s="5"/>
      <c r="Q83" s="4" t="s">
        <v>84</v>
      </c>
      <c r="R8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83" s="5"/>
      <c r="T8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3" s="5"/>
      <c r="V83" s="5" t="str">
        <f>IF(Form_Responses[[#This Row],[Q2:   Are you interested in digital assets such as cryptocurrencies?  ]]="Yes",1, IF(Form_Responses[[#This Row],[Q2:   Are you interested in digital assets such as cryptocurrencies?  ]]="No",2,""))</f>
        <v/>
      </c>
      <c r="W83" s="5"/>
      <c r="X8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3" s="5"/>
      <c r="Z83" s="5"/>
      <c r="AA83" s="5"/>
      <c r="AB8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3" s="5"/>
      <c r="AD8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3" s="5"/>
      <c r="AF83" s="5"/>
      <c r="AG83" s="4" t="s">
        <v>39</v>
      </c>
      <c r="AH8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83" s="4">
        <v>5</v>
      </c>
      <c r="AJ83" s="4" t="s">
        <v>58</v>
      </c>
      <c r="AK83"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83" s="4" t="s">
        <v>250</v>
      </c>
      <c r="AM83" s="5"/>
      <c r="AN83" s="5"/>
      <c r="AO8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3" s="5"/>
      <c r="AQ8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3" s="5"/>
      <c r="AS83" s="5"/>
      <c r="AT8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3" s="5"/>
      <c r="AV8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3" s="5"/>
      <c r="AX83" s="5"/>
    </row>
    <row r="84" spans="1:50" ht="22.5" customHeight="1" x14ac:dyDescent="0.2">
      <c r="A84" s="3">
        <v>46052.498395925926</v>
      </c>
      <c r="B84" s="4" t="s">
        <v>102</v>
      </c>
      <c r="C8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84" s="4" t="s">
        <v>32</v>
      </c>
      <c r="E84" s="5">
        <f>IF(Form_Responses[[#This Row],[Q1: What is your gender?]]="Male",1, IF(Form_Responses[[#This Row],[Q1: What is your gender?]]="Female",2,IF(Form_Responses[[#This Row],[Q1: What is your gender?]]="Prefer not to say", 3,"")))</f>
        <v>1</v>
      </c>
      <c r="F84" s="4" t="s">
        <v>33</v>
      </c>
      <c r="G84" s="5">
        <f>IF(Form_Responses[[#This Row],[Q2:  What is your nationality?  ]]="Bhutanese (living in Bhutan)",1, IF(Form_Responses[[#This Row],[Q2:  What is your nationality?  ]]="Bhutanese (living outside Bhutan)",2, IF(Form_Responses[[#This Row],[Q2:  What is your nationality?  ]]="International resident",3, "")))</f>
        <v>1</v>
      </c>
      <c r="H84" s="4" t="s">
        <v>56</v>
      </c>
      <c r="I8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84" s="4" t="s">
        <v>60</v>
      </c>
      <c r="K84" s="5">
        <f>IF(Form_Responses[[#This Row],[Q1.  Would you ever consider investing in gold?]]="Yes",1, IF(Form_Responses[[#This Row],[Q1.  Would you ever consider investing in gold?]]="No",2, IF(Form_Responses[[#This Row],[Q1.  Would you ever consider investing in gold?]]="Maybe",3, "")))</f>
        <v>3</v>
      </c>
      <c r="L84" s="4" t="s">
        <v>36</v>
      </c>
      <c r="M84"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4" s="5"/>
      <c r="O84" s="5"/>
      <c r="P84" s="4" t="s">
        <v>251</v>
      </c>
      <c r="Q84" s="4" t="s">
        <v>80</v>
      </c>
      <c r="R8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84" s="4" t="s">
        <v>159</v>
      </c>
      <c r="T8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4" s="4" t="s">
        <v>35</v>
      </c>
      <c r="V84" s="5">
        <f>IF(Form_Responses[[#This Row],[Q2:   Are you interested in digital assets such as cryptocurrencies?  ]]="Yes",1, IF(Form_Responses[[#This Row],[Q2:   Are you interested in digital assets such as cryptocurrencies?  ]]="No",2,""))</f>
        <v>1</v>
      </c>
      <c r="W84" s="5"/>
      <c r="X8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4" s="5"/>
      <c r="Z84" s="4" t="s">
        <v>252</v>
      </c>
      <c r="AA84" s="4" t="s">
        <v>36</v>
      </c>
      <c r="AB84"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2</v>
      </c>
      <c r="AC84" s="4" t="s">
        <v>68</v>
      </c>
      <c r="AD84"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84" s="4" t="s">
        <v>159</v>
      </c>
      <c r="AF84" s="5"/>
      <c r="AG84" s="5"/>
      <c r="AH84"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84" s="5"/>
      <c r="AJ84" s="5"/>
      <c r="AK8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84" s="5"/>
      <c r="AM84" s="5"/>
      <c r="AN84" s="5"/>
      <c r="AO8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4" s="5"/>
      <c r="AQ8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4" s="5"/>
      <c r="AS84" s="5"/>
      <c r="AT8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4" s="5"/>
      <c r="AV8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4" s="5"/>
      <c r="AX84" s="5"/>
    </row>
    <row r="85" spans="1:50" ht="22.5" customHeight="1" x14ac:dyDescent="0.2">
      <c r="A85" s="3">
        <v>46052.504891145829</v>
      </c>
      <c r="B85" s="4" t="s">
        <v>145</v>
      </c>
      <c r="C8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3</v>
      </c>
      <c r="D85" s="4" t="s">
        <v>63</v>
      </c>
      <c r="E85" s="5">
        <f>IF(Form_Responses[[#This Row],[Q1: What is your gender?]]="Male",1, IF(Form_Responses[[#This Row],[Q1: What is your gender?]]="Female",2,IF(Form_Responses[[#This Row],[Q1: What is your gender?]]="Prefer not to say", 3,"")))</f>
        <v>2</v>
      </c>
      <c r="F85" s="4" t="s">
        <v>33</v>
      </c>
      <c r="G85" s="5">
        <f>IF(Form_Responses[[#This Row],[Q2:  What is your nationality?  ]]="Bhutanese (living in Bhutan)",1, IF(Form_Responses[[#This Row],[Q2:  What is your nationality?  ]]="Bhutanese (living outside Bhutan)",2, IF(Form_Responses[[#This Row],[Q2:  What is your nationality?  ]]="International resident",3, "")))</f>
        <v>1</v>
      </c>
      <c r="H85" s="4" t="s">
        <v>56</v>
      </c>
      <c r="I8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85" s="4" t="s">
        <v>35</v>
      </c>
      <c r="K85" s="5">
        <f>IF(Form_Responses[[#This Row],[Q1.  Would you ever consider investing in gold?]]="Yes",1, IF(Form_Responses[[#This Row],[Q1.  Would you ever consider investing in gold?]]="No",2, IF(Form_Responses[[#This Row],[Q1.  Would you ever consider investing in gold?]]="Maybe",3, "")))</f>
        <v>1</v>
      </c>
      <c r="L85" s="4" t="s">
        <v>36</v>
      </c>
      <c r="M8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5" s="5"/>
      <c r="O85" s="5"/>
      <c r="P85" s="4" t="s">
        <v>61</v>
      </c>
      <c r="Q85" s="4" t="s">
        <v>38</v>
      </c>
      <c r="R8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85" s="5"/>
      <c r="T8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5" s="5"/>
      <c r="V85" s="5" t="str">
        <f>IF(Form_Responses[[#This Row],[Q2:   Are you interested in digital assets such as cryptocurrencies?  ]]="Yes",1, IF(Form_Responses[[#This Row],[Q2:   Are you interested in digital assets such as cryptocurrencies?  ]]="No",2,""))</f>
        <v/>
      </c>
      <c r="W85" s="5"/>
      <c r="X8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5" s="5"/>
      <c r="Z85" s="5"/>
      <c r="AA85" s="5"/>
      <c r="AB8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5" s="5"/>
      <c r="AD8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5" s="5"/>
      <c r="AF85" s="5"/>
      <c r="AG85" s="4" t="s">
        <v>39</v>
      </c>
      <c r="AH8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85" s="4">
        <v>5</v>
      </c>
      <c r="AJ85" s="4" t="s">
        <v>58</v>
      </c>
      <c r="AK85"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85" s="4" t="s">
        <v>159</v>
      </c>
      <c r="AM85" s="5"/>
      <c r="AN85" s="5"/>
      <c r="AO8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5" s="5"/>
      <c r="AQ8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5" s="5"/>
      <c r="AS85" s="5"/>
      <c r="AT8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5" s="5"/>
      <c r="AV8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5" s="5"/>
      <c r="AX85" s="5"/>
    </row>
    <row r="86" spans="1:50" ht="22.5" customHeight="1" x14ac:dyDescent="0.2">
      <c r="A86" s="3">
        <v>46052.527440613427</v>
      </c>
      <c r="B86" s="4" t="s">
        <v>102</v>
      </c>
      <c r="C8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86" s="4" t="s">
        <v>63</v>
      </c>
      <c r="E86" s="5">
        <f>IF(Form_Responses[[#This Row],[Q1: What is your gender?]]="Male",1, IF(Form_Responses[[#This Row],[Q1: What is your gender?]]="Female",2,IF(Form_Responses[[#This Row],[Q1: What is your gender?]]="Prefer not to say", 3,"")))</f>
        <v>2</v>
      </c>
      <c r="F86" s="4" t="s">
        <v>33</v>
      </c>
      <c r="G86" s="5">
        <f>IF(Form_Responses[[#This Row],[Q2:  What is your nationality?  ]]="Bhutanese (living in Bhutan)",1, IF(Form_Responses[[#This Row],[Q2:  What is your nationality?  ]]="Bhutanese (living outside Bhutan)",2, IF(Form_Responses[[#This Row],[Q2:  What is your nationality?  ]]="International resident",3, "")))</f>
        <v>1</v>
      </c>
      <c r="H86" s="4" t="s">
        <v>52</v>
      </c>
      <c r="I8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86" s="4" t="s">
        <v>35</v>
      </c>
      <c r="K86" s="5">
        <f>IF(Form_Responses[[#This Row],[Q1.  Would you ever consider investing in gold?]]="Yes",1, IF(Form_Responses[[#This Row],[Q1.  Would you ever consider investing in gold?]]="No",2, IF(Form_Responses[[#This Row],[Q1.  Would you ever consider investing in gold?]]="Maybe",3, "")))</f>
        <v>1</v>
      </c>
      <c r="L86" s="4" t="s">
        <v>36</v>
      </c>
      <c r="M8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6" s="5"/>
      <c r="O86" s="5"/>
      <c r="P86" s="4" t="s">
        <v>253</v>
      </c>
      <c r="Q86" s="4" t="s">
        <v>38</v>
      </c>
      <c r="R8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86" s="5"/>
      <c r="T8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6" s="5"/>
      <c r="V86" s="5" t="str">
        <f>IF(Form_Responses[[#This Row],[Q2:   Are you interested in digital assets such as cryptocurrencies?  ]]="Yes",1, IF(Form_Responses[[#This Row],[Q2:   Are you interested in digital assets such as cryptocurrencies?  ]]="No",2,""))</f>
        <v/>
      </c>
      <c r="W86" s="5"/>
      <c r="X8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6" s="5"/>
      <c r="Z86" s="5"/>
      <c r="AA86" s="5"/>
      <c r="AB8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6" s="5"/>
      <c r="AD8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6" s="5"/>
      <c r="AF86" s="5"/>
      <c r="AG86" s="4" t="s">
        <v>39</v>
      </c>
      <c r="AH8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86" s="4">
        <v>4</v>
      </c>
      <c r="AJ86" s="4" t="s">
        <v>58</v>
      </c>
      <c r="AK8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86" s="4" t="s">
        <v>254</v>
      </c>
      <c r="AM86" s="5"/>
      <c r="AN86" s="5"/>
      <c r="AO8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6" s="5"/>
      <c r="AQ8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6" s="5"/>
      <c r="AS86" s="5"/>
      <c r="AT8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6" s="5"/>
      <c r="AV8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6" s="5"/>
      <c r="AX86" s="5"/>
    </row>
    <row r="87" spans="1:50" ht="22.5" customHeight="1" x14ac:dyDescent="0.2">
      <c r="A87" s="3">
        <v>46052.632570578702</v>
      </c>
      <c r="B87" s="4" t="s">
        <v>31</v>
      </c>
      <c r="C8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7" s="4" t="s">
        <v>63</v>
      </c>
      <c r="E87" s="5">
        <f>IF(Form_Responses[[#This Row],[Q1: What is your gender?]]="Male",1, IF(Form_Responses[[#This Row],[Q1: What is your gender?]]="Female",2,IF(Form_Responses[[#This Row],[Q1: What is your gender?]]="Prefer not to say", 3,"")))</f>
        <v>2</v>
      </c>
      <c r="F87" s="4" t="s">
        <v>33</v>
      </c>
      <c r="G87" s="5">
        <f>IF(Form_Responses[[#This Row],[Q2:  What is your nationality?  ]]="Bhutanese (living in Bhutan)",1, IF(Form_Responses[[#This Row],[Q2:  What is your nationality?  ]]="Bhutanese (living outside Bhutan)",2, IF(Form_Responses[[#This Row],[Q2:  What is your nationality?  ]]="International resident",3, "")))</f>
        <v>1</v>
      </c>
      <c r="H87" s="4" t="s">
        <v>34</v>
      </c>
      <c r="I8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87" s="4" t="s">
        <v>35</v>
      </c>
      <c r="K87" s="5">
        <f>IF(Form_Responses[[#This Row],[Q1.  Would you ever consider investing in gold?]]="Yes",1, IF(Form_Responses[[#This Row],[Q1.  Would you ever consider investing in gold?]]="No",2, IF(Form_Responses[[#This Row],[Q1.  Would you ever consider investing in gold?]]="Maybe",3, "")))</f>
        <v>1</v>
      </c>
      <c r="L87" s="4" t="s">
        <v>36</v>
      </c>
      <c r="M8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7" s="5"/>
      <c r="O87" s="5"/>
      <c r="P87" s="4" t="s">
        <v>255</v>
      </c>
      <c r="Q87" s="4" t="s">
        <v>80</v>
      </c>
      <c r="R8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87" s="4" t="s">
        <v>60</v>
      </c>
      <c r="T87"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87" s="4" t="s">
        <v>35</v>
      </c>
      <c r="V87" s="5">
        <f>IF(Form_Responses[[#This Row],[Q2:   Are you interested in digital assets such as cryptocurrencies?  ]]="Yes",1, IF(Form_Responses[[#This Row],[Q2:   Are you interested in digital assets such as cryptocurrencies?  ]]="No",2,""))</f>
        <v>1</v>
      </c>
      <c r="W87" s="5"/>
      <c r="X8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7" s="5"/>
      <c r="Z87" s="4" t="s">
        <v>256</v>
      </c>
      <c r="AA87" s="4" t="s">
        <v>60</v>
      </c>
      <c r="AB87"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87" s="4" t="s">
        <v>163</v>
      </c>
      <c r="AD87"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1</v>
      </c>
      <c r="AE87" s="4" t="s">
        <v>156</v>
      </c>
      <c r="AF87" s="5"/>
      <c r="AG87" s="5"/>
      <c r="AH87"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87" s="5"/>
      <c r="AJ87" s="5"/>
      <c r="AK8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87" s="5"/>
      <c r="AM87" s="5"/>
      <c r="AN87" s="5"/>
      <c r="AO8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7" s="5"/>
      <c r="AQ8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7" s="5"/>
      <c r="AS87" s="5"/>
      <c r="AT8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7" s="5"/>
      <c r="AV8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7" s="5"/>
      <c r="AX87" s="5"/>
    </row>
    <row r="88" spans="1:50" ht="22.5" customHeight="1" x14ac:dyDescent="0.2">
      <c r="A88" s="3">
        <v>46052.662182129628</v>
      </c>
      <c r="B88" s="4" t="s">
        <v>102</v>
      </c>
      <c r="C8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88" s="4" t="s">
        <v>32</v>
      </c>
      <c r="E88" s="5">
        <f>IF(Form_Responses[[#This Row],[Q1: What is your gender?]]="Male",1, IF(Form_Responses[[#This Row],[Q1: What is your gender?]]="Female",2,IF(Form_Responses[[#This Row],[Q1: What is your gender?]]="Prefer not to say", 3,"")))</f>
        <v>1</v>
      </c>
      <c r="F88" s="4" t="s">
        <v>33</v>
      </c>
      <c r="G88" s="5">
        <f>IF(Form_Responses[[#This Row],[Q2:  What is your nationality?  ]]="Bhutanese (living in Bhutan)",1, IF(Form_Responses[[#This Row],[Q2:  What is your nationality?  ]]="Bhutanese (living outside Bhutan)",2, IF(Form_Responses[[#This Row],[Q2:  What is your nationality?  ]]="International resident",3, "")))</f>
        <v>1</v>
      </c>
      <c r="H88" s="4" t="s">
        <v>56</v>
      </c>
      <c r="I8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88" s="4" t="s">
        <v>36</v>
      </c>
      <c r="K88" s="5">
        <f>IF(Form_Responses[[#This Row],[Q1.  Would you ever consider investing in gold?]]="Yes",1, IF(Form_Responses[[#This Row],[Q1.  Would you ever consider investing in gold?]]="No",2, IF(Form_Responses[[#This Row],[Q1.  Would you ever consider investing in gold?]]="Maybe",3, "")))</f>
        <v>2</v>
      </c>
      <c r="L88" s="4" t="s">
        <v>36</v>
      </c>
      <c r="M88"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8" s="5"/>
      <c r="O88" s="5"/>
      <c r="P88" s="4" t="s">
        <v>257</v>
      </c>
      <c r="Q88" s="4" t="s">
        <v>80</v>
      </c>
      <c r="R8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88" s="4" t="s">
        <v>35</v>
      </c>
      <c r="T88"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88" s="4" t="s">
        <v>35</v>
      </c>
      <c r="V88" s="5">
        <f>IF(Form_Responses[[#This Row],[Q2:   Are you interested in digital assets such as cryptocurrencies?  ]]="Yes",1, IF(Form_Responses[[#This Row],[Q2:   Are you interested in digital assets such as cryptocurrencies?  ]]="No",2,""))</f>
        <v>1</v>
      </c>
      <c r="W88" s="5"/>
      <c r="X8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8" s="5"/>
      <c r="Z88" s="4" t="s">
        <v>258</v>
      </c>
      <c r="AA88" s="4" t="s">
        <v>60</v>
      </c>
      <c r="AB88"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88" s="4" t="s">
        <v>163</v>
      </c>
      <c r="AD88"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1</v>
      </c>
      <c r="AE88" s="4" t="s">
        <v>259</v>
      </c>
      <c r="AF88" s="5"/>
      <c r="AG88" s="5"/>
      <c r="AH88"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88" s="5"/>
      <c r="AJ88" s="5"/>
      <c r="AK8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88" s="5"/>
      <c r="AM88" s="5"/>
      <c r="AN88" s="5"/>
      <c r="AO8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8" s="5"/>
      <c r="AQ8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8" s="5"/>
      <c r="AS88" s="5"/>
      <c r="AT8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8" s="5"/>
      <c r="AV8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8" s="5"/>
      <c r="AX88" s="5"/>
    </row>
    <row r="89" spans="1:50" ht="22.5" customHeight="1" x14ac:dyDescent="0.2">
      <c r="A89" s="3">
        <v>46052.758941805558</v>
      </c>
      <c r="B89" s="4" t="s">
        <v>31</v>
      </c>
      <c r="C8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89" s="4" t="s">
        <v>63</v>
      </c>
      <c r="E89" s="5">
        <f>IF(Form_Responses[[#This Row],[Q1: What is your gender?]]="Male",1, IF(Form_Responses[[#This Row],[Q1: What is your gender?]]="Female",2,IF(Form_Responses[[#This Row],[Q1: What is your gender?]]="Prefer not to say", 3,"")))</f>
        <v>2</v>
      </c>
      <c r="F89" s="4" t="s">
        <v>33</v>
      </c>
      <c r="G89" s="5">
        <f>IF(Form_Responses[[#This Row],[Q2:  What is your nationality?  ]]="Bhutanese (living in Bhutan)",1, IF(Form_Responses[[#This Row],[Q2:  What is your nationality?  ]]="Bhutanese (living outside Bhutan)",2, IF(Form_Responses[[#This Row],[Q2:  What is your nationality?  ]]="International resident",3, "")))</f>
        <v>1</v>
      </c>
      <c r="H89" s="4" t="s">
        <v>56</v>
      </c>
      <c r="I8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89" s="4" t="s">
        <v>36</v>
      </c>
      <c r="K89" s="5">
        <f>IF(Form_Responses[[#This Row],[Q1.  Would you ever consider investing in gold?]]="Yes",1, IF(Form_Responses[[#This Row],[Q1.  Would you ever consider investing in gold?]]="No",2, IF(Form_Responses[[#This Row],[Q1.  Would you ever consider investing in gold?]]="Maybe",3, "")))</f>
        <v>2</v>
      </c>
      <c r="L89" s="4" t="s">
        <v>36</v>
      </c>
      <c r="M8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89" s="5"/>
      <c r="O89" s="5"/>
      <c r="P89" s="4" t="s">
        <v>260</v>
      </c>
      <c r="Q89" s="4" t="s">
        <v>38</v>
      </c>
      <c r="R8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89" s="5"/>
      <c r="T8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89" s="5"/>
      <c r="V89" s="5" t="str">
        <f>IF(Form_Responses[[#This Row],[Q2:   Are you interested in digital assets such as cryptocurrencies?  ]]="Yes",1, IF(Form_Responses[[#This Row],[Q2:   Are you interested in digital assets such as cryptocurrencies?  ]]="No",2,""))</f>
        <v/>
      </c>
      <c r="W89" s="5"/>
      <c r="X8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89" s="5"/>
      <c r="Z89" s="5"/>
      <c r="AA89" s="5"/>
      <c r="AB8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89" s="5"/>
      <c r="AD8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89" s="5"/>
      <c r="AF89" s="5"/>
      <c r="AG89" s="4" t="s">
        <v>72</v>
      </c>
      <c r="AH8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1</v>
      </c>
      <c r="AI89" s="4">
        <v>2</v>
      </c>
      <c r="AJ89" s="4" t="s">
        <v>54</v>
      </c>
      <c r="AK89"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89" s="4" t="s">
        <v>261</v>
      </c>
      <c r="AM89" s="5"/>
      <c r="AN89" s="5"/>
      <c r="AO8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89" s="5"/>
      <c r="AQ8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89" s="5"/>
      <c r="AS89" s="5"/>
      <c r="AT8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89" s="5"/>
      <c r="AV8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89" s="5"/>
      <c r="AX89" s="5"/>
    </row>
    <row r="90" spans="1:50" ht="22.5" customHeight="1" x14ac:dyDescent="0.2">
      <c r="A90" s="3">
        <v>46052.759035104165</v>
      </c>
      <c r="B90" s="4" t="s">
        <v>31</v>
      </c>
      <c r="C9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0" s="5"/>
      <c r="E90" s="5" t="str">
        <f>IF(Form_Responses[[#This Row],[Q1: What is your gender?]]="Male",1, IF(Form_Responses[[#This Row],[Q1: What is your gender?]]="Female",2,IF(Form_Responses[[#This Row],[Q1: What is your gender?]]="Prefer not to say", 3,"")))</f>
        <v/>
      </c>
      <c r="F90" s="4" t="s">
        <v>33</v>
      </c>
      <c r="G90" s="5">
        <f>IF(Form_Responses[[#This Row],[Q2:  What is your nationality?  ]]="Bhutanese (living in Bhutan)",1, IF(Form_Responses[[#This Row],[Q2:  What is your nationality?  ]]="Bhutanese (living outside Bhutan)",2, IF(Form_Responses[[#This Row],[Q2:  What is your nationality?  ]]="International resident",3, "")))</f>
        <v>1</v>
      </c>
      <c r="H90" s="4" t="s">
        <v>34</v>
      </c>
      <c r="I9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90" s="4" t="s">
        <v>60</v>
      </c>
      <c r="K90" s="5">
        <f>IF(Form_Responses[[#This Row],[Q1.  Would you ever consider investing in gold?]]="Yes",1, IF(Form_Responses[[#This Row],[Q1.  Would you ever consider investing in gold?]]="No",2, IF(Form_Responses[[#This Row],[Q1.  Would you ever consider investing in gold?]]="Maybe",3, "")))</f>
        <v>3</v>
      </c>
      <c r="L90" s="4" t="s">
        <v>36</v>
      </c>
      <c r="M9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90" s="5"/>
      <c r="O90" s="5"/>
      <c r="P90" s="4" t="s">
        <v>262</v>
      </c>
      <c r="Q90" s="4" t="s">
        <v>66</v>
      </c>
      <c r="R9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1</v>
      </c>
      <c r="S90" s="4" t="s">
        <v>60</v>
      </c>
      <c r="T9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90" s="4" t="s">
        <v>35</v>
      </c>
      <c r="V90" s="5">
        <f>IF(Form_Responses[[#This Row],[Q2:   Are you interested in digital assets such as cryptocurrencies?  ]]="Yes",1, IF(Form_Responses[[#This Row],[Q2:   Are you interested in digital assets such as cryptocurrencies?  ]]="No",2,""))</f>
        <v>1</v>
      </c>
      <c r="W90" s="5"/>
      <c r="X9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0" s="5"/>
      <c r="Z90" s="4" t="s">
        <v>263</v>
      </c>
      <c r="AA90" s="4" t="s">
        <v>60</v>
      </c>
      <c r="AB90"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90" s="4" t="s">
        <v>68</v>
      </c>
      <c r="AD90"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90" s="4" t="s">
        <v>264</v>
      </c>
      <c r="AF90" s="5"/>
      <c r="AG90" s="5"/>
      <c r="AH9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0" s="5"/>
      <c r="AJ90" s="5"/>
      <c r="AK9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0" s="5"/>
      <c r="AM90" s="5"/>
      <c r="AN90" s="5"/>
      <c r="AO9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0" s="5"/>
      <c r="AQ9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0" s="5"/>
      <c r="AS90" s="5"/>
      <c r="AT9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0" s="5"/>
      <c r="AV9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0" s="5"/>
      <c r="AX90" s="5"/>
    </row>
    <row r="91" spans="1:50" ht="22.5" customHeight="1" x14ac:dyDescent="0.2">
      <c r="A91" s="3">
        <v>46052.762457141202</v>
      </c>
      <c r="B91" s="4" t="s">
        <v>31</v>
      </c>
      <c r="C9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1" s="4" t="s">
        <v>63</v>
      </c>
      <c r="E91" s="5">
        <f>IF(Form_Responses[[#This Row],[Q1: What is your gender?]]="Male",1, IF(Form_Responses[[#This Row],[Q1: What is your gender?]]="Female",2,IF(Form_Responses[[#This Row],[Q1: What is your gender?]]="Prefer not to say", 3,"")))</f>
        <v>2</v>
      </c>
      <c r="F91" s="4" t="s">
        <v>33</v>
      </c>
      <c r="G91" s="5">
        <f>IF(Form_Responses[[#This Row],[Q2:  What is your nationality?  ]]="Bhutanese (living in Bhutan)",1, IF(Form_Responses[[#This Row],[Q2:  What is your nationality?  ]]="Bhutanese (living outside Bhutan)",2, IF(Form_Responses[[#This Row],[Q2:  What is your nationality?  ]]="International resident",3, "")))</f>
        <v>1</v>
      </c>
      <c r="H91" s="4" t="s">
        <v>34</v>
      </c>
      <c r="I9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91" s="4" t="s">
        <v>35</v>
      </c>
      <c r="K91" s="5">
        <f>IF(Form_Responses[[#This Row],[Q1.  Would you ever consider investing in gold?]]="Yes",1, IF(Form_Responses[[#This Row],[Q1.  Would you ever consider investing in gold?]]="No",2, IF(Form_Responses[[#This Row],[Q1.  Would you ever consider investing in gold?]]="Maybe",3, "")))</f>
        <v>1</v>
      </c>
      <c r="L91" s="4" t="s">
        <v>36</v>
      </c>
      <c r="M9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91" s="5"/>
      <c r="O91" s="5"/>
      <c r="P91" s="4" t="s">
        <v>265</v>
      </c>
      <c r="Q91" s="4" t="s">
        <v>80</v>
      </c>
      <c r="R9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91" s="4" t="s">
        <v>35</v>
      </c>
      <c r="T91"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91" s="4" t="s">
        <v>35</v>
      </c>
      <c r="V91" s="5">
        <f>IF(Form_Responses[[#This Row],[Q2:   Are you interested in digital assets such as cryptocurrencies?  ]]="Yes",1, IF(Form_Responses[[#This Row],[Q2:   Are you interested in digital assets such as cryptocurrencies?  ]]="No",2,""))</f>
        <v>1</v>
      </c>
      <c r="W91" s="5"/>
      <c r="X9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1" s="5"/>
      <c r="Z91" s="4" t="s">
        <v>266</v>
      </c>
      <c r="AA91" s="4" t="s">
        <v>35</v>
      </c>
      <c r="AB91"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91" s="4" t="s">
        <v>68</v>
      </c>
      <c r="AD91"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91" s="4" t="s">
        <v>267</v>
      </c>
      <c r="AF91" s="5"/>
      <c r="AG91" s="5"/>
      <c r="AH91"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1" s="5"/>
      <c r="AJ91" s="5"/>
      <c r="AK9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1" s="5"/>
      <c r="AM91" s="5"/>
      <c r="AN91" s="5"/>
      <c r="AO9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1" s="5"/>
      <c r="AQ9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1" s="5"/>
      <c r="AS91" s="5"/>
      <c r="AT9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1" s="5"/>
      <c r="AV9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1" s="5"/>
      <c r="AX91" s="5"/>
    </row>
    <row r="92" spans="1:50" ht="22.5" customHeight="1" x14ac:dyDescent="0.2">
      <c r="A92" s="3">
        <v>46052.763312592593</v>
      </c>
      <c r="B92" s="4" t="s">
        <v>31</v>
      </c>
      <c r="C9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2" s="4" t="s">
        <v>63</v>
      </c>
      <c r="E92" s="5">
        <f>IF(Form_Responses[[#This Row],[Q1: What is your gender?]]="Male",1, IF(Form_Responses[[#This Row],[Q1: What is your gender?]]="Female",2,IF(Form_Responses[[#This Row],[Q1: What is your gender?]]="Prefer not to say", 3,"")))</f>
        <v>2</v>
      </c>
      <c r="F92" s="4" t="s">
        <v>33</v>
      </c>
      <c r="G92" s="5">
        <f>IF(Form_Responses[[#This Row],[Q2:  What is your nationality?  ]]="Bhutanese (living in Bhutan)",1, IF(Form_Responses[[#This Row],[Q2:  What is your nationality?  ]]="Bhutanese (living outside Bhutan)",2, IF(Form_Responses[[#This Row],[Q2:  What is your nationality?  ]]="International resident",3, "")))</f>
        <v>1</v>
      </c>
      <c r="H92" s="4" t="s">
        <v>56</v>
      </c>
      <c r="I9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92" s="4" t="s">
        <v>60</v>
      </c>
      <c r="K92" s="5">
        <f>IF(Form_Responses[[#This Row],[Q1.  Would you ever consider investing in gold?]]="Yes",1, IF(Form_Responses[[#This Row],[Q1.  Would you ever consider investing in gold?]]="No",2, IF(Form_Responses[[#This Row],[Q1.  Would you ever consider investing in gold?]]="Maybe",3, "")))</f>
        <v>3</v>
      </c>
      <c r="L92" s="4" t="s">
        <v>36</v>
      </c>
      <c r="M9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92" s="5"/>
      <c r="O92" s="5"/>
      <c r="P92" s="4" t="s">
        <v>268</v>
      </c>
      <c r="Q92" s="4" t="s">
        <v>80</v>
      </c>
      <c r="R9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92" s="4" t="s">
        <v>60</v>
      </c>
      <c r="T92"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92" s="4" t="s">
        <v>36</v>
      </c>
      <c r="V92" s="5">
        <f>IF(Form_Responses[[#This Row],[Q2:   Are you interested in digital assets such as cryptocurrencies?  ]]="Yes",1, IF(Form_Responses[[#This Row],[Q2:   Are you interested in digital assets such as cryptocurrencies?  ]]="No",2,""))</f>
        <v>2</v>
      </c>
      <c r="W92" s="4" t="s">
        <v>269</v>
      </c>
      <c r="X92"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2</v>
      </c>
      <c r="Y92" s="4" t="s">
        <v>35</v>
      </c>
      <c r="Z92" s="5"/>
      <c r="AA92" s="5"/>
      <c r="AB9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2" s="5"/>
      <c r="AD9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2" s="5"/>
      <c r="AF92" s="5"/>
      <c r="AG92" s="5"/>
      <c r="AH92"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2" s="5"/>
      <c r="AJ92" s="5"/>
      <c r="AK92"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2" s="5"/>
      <c r="AM92" s="5"/>
      <c r="AN92" s="5"/>
      <c r="AO9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2" s="5"/>
      <c r="AQ9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2" s="5"/>
      <c r="AS92" s="5"/>
      <c r="AT9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2" s="5"/>
      <c r="AV9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2" s="5"/>
      <c r="AX92" s="5"/>
    </row>
    <row r="93" spans="1:50" ht="22.5" customHeight="1" x14ac:dyDescent="0.2">
      <c r="A93" s="3">
        <v>46052.765355150463</v>
      </c>
      <c r="B93" s="4" t="s">
        <v>31</v>
      </c>
      <c r="C9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3" s="4" t="s">
        <v>63</v>
      </c>
      <c r="E93" s="5">
        <f>IF(Form_Responses[[#This Row],[Q1: What is your gender?]]="Male",1, IF(Form_Responses[[#This Row],[Q1: What is your gender?]]="Female",2,IF(Form_Responses[[#This Row],[Q1: What is your gender?]]="Prefer not to say", 3,"")))</f>
        <v>2</v>
      </c>
      <c r="F93" s="4" t="s">
        <v>33</v>
      </c>
      <c r="G93" s="5">
        <f>IF(Form_Responses[[#This Row],[Q2:  What is your nationality?  ]]="Bhutanese (living in Bhutan)",1, IF(Form_Responses[[#This Row],[Q2:  What is your nationality?  ]]="Bhutanese (living outside Bhutan)",2, IF(Form_Responses[[#This Row],[Q2:  What is your nationality?  ]]="International resident",3, "")))</f>
        <v>1</v>
      </c>
      <c r="H93" s="4" t="s">
        <v>56</v>
      </c>
      <c r="I9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93" s="4" t="s">
        <v>60</v>
      </c>
      <c r="K93" s="5">
        <f>IF(Form_Responses[[#This Row],[Q1.  Would you ever consider investing in gold?]]="Yes",1, IF(Form_Responses[[#This Row],[Q1.  Would you ever consider investing in gold?]]="No",2, IF(Form_Responses[[#This Row],[Q1.  Would you ever consider investing in gold?]]="Maybe",3, "")))</f>
        <v>3</v>
      </c>
      <c r="L93" s="4" t="s">
        <v>36</v>
      </c>
      <c r="M9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93" s="5"/>
      <c r="O93" s="5"/>
      <c r="P93" s="4" t="s">
        <v>270</v>
      </c>
      <c r="Q93" s="4" t="s">
        <v>38</v>
      </c>
      <c r="R9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93" s="5"/>
      <c r="T9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3" s="5"/>
      <c r="V93" s="5" t="str">
        <f>IF(Form_Responses[[#This Row],[Q2:   Are you interested in digital assets such as cryptocurrencies?  ]]="Yes",1, IF(Form_Responses[[#This Row],[Q2:   Are you interested in digital assets such as cryptocurrencies?  ]]="No",2,""))</f>
        <v/>
      </c>
      <c r="W93" s="5"/>
      <c r="X9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3" s="5"/>
      <c r="Z93" s="5"/>
      <c r="AA93" s="5"/>
      <c r="AB9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3" s="5"/>
      <c r="AD9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3" s="5"/>
      <c r="AF93" s="5"/>
      <c r="AG93" s="4" t="s">
        <v>39</v>
      </c>
      <c r="AH93"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93" s="4">
        <v>2</v>
      </c>
      <c r="AJ93" s="4" t="s">
        <v>40</v>
      </c>
      <c r="AK93"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93" s="4" t="s">
        <v>271</v>
      </c>
      <c r="AM93" s="5"/>
      <c r="AN93" s="5"/>
      <c r="AO9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3" s="5"/>
      <c r="AQ9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3" s="5"/>
      <c r="AS93" s="5"/>
      <c r="AT9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3" s="5"/>
      <c r="AV9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3" s="5"/>
      <c r="AX93" s="5"/>
    </row>
    <row r="94" spans="1:50" ht="22.5" customHeight="1" x14ac:dyDescent="0.2">
      <c r="A94" s="3">
        <v>46052.765766296296</v>
      </c>
      <c r="B94" s="4" t="s">
        <v>31</v>
      </c>
      <c r="C9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4" s="4" t="s">
        <v>32</v>
      </c>
      <c r="E94" s="5">
        <f>IF(Form_Responses[[#This Row],[Q1: What is your gender?]]="Male",1, IF(Form_Responses[[#This Row],[Q1: What is your gender?]]="Female",2,IF(Form_Responses[[#This Row],[Q1: What is your gender?]]="Prefer not to say", 3,"")))</f>
        <v>1</v>
      </c>
      <c r="F94" s="4" t="s">
        <v>33</v>
      </c>
      <c r="G94" s="5">
        <f>IF(Form_Responses[[#This Row],[Q2:  What is your nationality?  ]]="Bhutanese (living in Bhutan)",1, IF(Form_Responses[[#This Row],[Q2:  What is your nationality?  ]]="Bhutanese (living outside Bhutan)",2, IF(Form_Responses[[#This Row],[Q2:  What is your nationality?  ]]="International resident",3, "")))</f>
        <v>1</v>
      </c>
      <c r="H94" s="4" t="s">
        <v>56</v>
      </c>
      <c r="I9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94" s="4" t="s">
        <v>35</v>
      </c>
      <c r="K94" s="5">
        <f>IF(Form_Responses[[#This Row],[Q1.  Would you ever consider investing in gold?]]="Yes",1, IF(Form_Responses[[#This Row],[Q1.  Would you ever consider investing in gold?]]="No",2, IF(Form_Responses[[#This Row],[Q1.  Would you ever consider investing in gold?]]="Maybe",3, "")))</f>
        <v>1</v>
      </c>
      <c r="L94" s="4" t="s">
        <v>35</v>
      </c>
      <c r="M94"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94" s="4" t="s">
        <v>272</v>
      </c>
      <c r="O94" s="4">
        <v>5</v>
      </c>
      <c r="P94" s="5"/>
      <c r="Q94" s="4" t="s">
        <v>84</v>
      </c>
      <c r="R9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94" s="5"/>
      <c r="T9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4" s="5"/>
      <c r="V94" s="5" t="str">
        <f>IF(Form_Responses[[#This Row],[Q2:   Are you interested in digital assets such as cryptocurrencies?  ]]="Yes",1, IF(Form_Responses[[#This Row],[Q2:   Are you interested in digital assets such as cryptocurrencies?  ]]="No",2,""))</f>
        <v/>
      </c>
      <c r="W94" s="5"/>
      <c r="X9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4" s="5"/>
      <c r="Z94" s="5"/>
      <c r="AA94" s="5"/>
      <c r="AB9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4" s="5"/>
      <c r="AD9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4" s="5"/>
      <c r="AF94" s="5"/>
      <c r="AG94" s="4" t="s">
        <v>43</v>
      </c>
      <c r="AH94"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94" s="5"/>
      <c r="AJ94" s="5"/>
      <c r="AK9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4" s="5"/>
      <c r="AM94" s="4">
        <v>5</v>
      </c>
      <c r="AN94" s="4" t="s">
        <v>273</v>
      </c>
      <c r="AO94"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17</v>
      </c>
      <c r="AP94" s="4" t="s">
        <v>130</v>
      </c>
      <c r="AQ94"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v>
      </c>
      <c r="AR94" s="4">
        <v>5</v>
      </c>
      <c r="AS94" s="4" t="s">
        <v>87</v>
      </c>
      <c r="AT94"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94" s="4" t="s">
        <v>125</v>
      </c>
      <c r="AV94"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7</v>
      </c>
      <c r="AW94" s="4">
        <v>5</v>
      </c>
      <c r="AX94" s="4" t="s">
        <v>274</v>
      </c>
    </row>
    <row r="95" spans="1:50" ht="22.5" customHeight="1" x14ac:dyDescent="0.2">
      <c r="A95" s="3">
        <v>46052.769253032406</v>
      </c>
      <c r="B95" s="4" t="s">
        <v>31</v>
      </c>
      <c r="C9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95" s="4" t="s">
        <v>63</v>
      </c>
      <c r="E95" s="5">
        <f>IF(Form_Responses[[#This Row],[Q1: What is your gender?]]="Male",1, IF(Form_Responses[[#This Row],[Q1: What is your gender?]]="Female",2,IF(Form_Responses[[#This Row],[Q1: What is your gender?]]="Prefer not to say", 3,"")))</f>
        <v>2</v>
      </c>
      <c r="F95" s="4" t="s">
        <v>33</v>
      </c>
      <c r="G95" s="5">
        <f>IF(Form_Responses[[#This Row],[Q2:  What is your nationality?  ]]="Bhutanese (living in Bhutan)",1, IF(Form_Responses[[#This Row],[Q2:  What is your nationality?  ]]="Bhutanese (living outside Bhutan)",2, IF(Form_Responses[[#This Row],[Q2:  What is your nationality?  ]]="International resident",3, "")))</f>
        <v>1</v>
      </c>
      <c r="H95" s="4" t="s">
        <v>34</v>
      </c>
      <c r="I9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95" s="4" t="s">
        <v>36</v>
      </c>
      <c r="K95" s="5">
        <f>IF(Form_Responses[[#This Row],[Q1.  Would you ever consider investing in gold?]]="Yes",1, IF(Form_Responses[[#This Row],[Q1.  Would you ever consider investing in gold?]]="No",2, IF(Form_Responses[[#This Row],[Q1.  Would you ever consider investing in gold?]]="Maybe",3, "")))</f>
        <v>2</v>
      </c>
      <c r="L95" s="4" t="s">
        <v>36</v>
      </c>
      <c r="M9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95" s="5"/>
      <c r="O95" s="5"/>
      <c r="P95" s="4" t="s">
        <v>275</v>
      </c>
      <c r="Q95" s="4" t="s">
        <v>38</v>
      </c>
      <c r="R9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95" s="5"/>
      <c r="T9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5" s="5"/>
      <c r="V95" s="5" t="str">
        <f>IF(Form_Responses[[#This Row],[Q2:   Are you interested in digital assets such as cryptocurrencies?  ]]="Yes",1, IF(Form_Responses[[#This Row],[Q2:   Are you interested in digital assets such as cryptocurrencies?  ]]="No",2,""))</f>
        <v/>
      </c>
      <c r="W95" s="5"/>
      <c r="X9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5" s="5"/>
      <c r="Z95" s="5"/>
      <c r="AA95" s="5"/>
      <c r="AB9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5" s="5"/>
      <c r="AD9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5" s="5"/>
      <c r="AF95" s="5"/>
      <c r="AG95" s="4" t="s">
        <v>43</v>
      </c>
      <c r="AH9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95" s="5"/>
      <c r="AJ95" s="5"/>
      <c r="AK9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5" s="5"/>
      <c r="AM95" s="4">
        <v>4</v>
      </c>
      <c r="AN95" s="4" t="s">
        <v>276</v>
      </c>
      <c r="AO95"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18</v>
      </c>
      <c r="AP95" s="4" t="s">
        <v>170</v>
      </c>
      <c r="AQ95"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12</v>
      </c>
      <c r="AR95" s="4">
        <v>4</v>
      </c>
      <c r="AS95" s="4" t="s">
        <v>87</v>
      </c>
      <c r="AT95"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95" s="4" t="s">
        <v>47</v>
      </c>
      <c r="AV95"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95" s="4">
        <v>4</v>
      </c>
      <c r="AX95" s="4" t="s">
        <v>277</v>
      </c>
    </row>
    <row r="96" spans="1:50" ht="22.5" customHeight="1" x14ac:dyDescent="0.2">
      <c r="A96" s="3">
        <v>46052.770290949076</v>
      </c>
      <c r="B96" s="4" t="s">
        <v>278</v>
      </c>
      <c r="C9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1</v>
      </c>
      <c r="D96" s="5"/>
      <c r="E96" s="5" t="str">
        <f>IF(Form_Responses[[#This Row],[Q1: What is your gender?]]="Male",1, IF(Form_Responses[[#This Row],[Q1: What is your gender?]]="Female",2,IF(Form_Responses[[#This Row],[Q1: What is your gender?]]="Prefer not to say", 3,"")))</f>
        <v/>
      </c>
      <c r="F96" s="5"/>
      <c r="G96" s="5" t="str">
        <f>IF(Form_Responses[[#This Row],[Q2:  What is your nationality?  ]]="Bhutanese (living in Bhutan)",1, IF(Form_Responses[[#This Row],[Q2:  What is your nationality?  ]]="Bhutanese (living outside Bhutan)",2, IF(Form_Responses[[#This Row],[Q2:  What is your nationality?  ]]="International resident",3, "")))</f>
        <v/>
      </c>
      <c r="H96" s="5"/>
      <c r="I96" s="5" t="str">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
      </c>
      <c r="J96" s="5"/>
      <c r="K96" s="5" t="str">
        <f>IF(Form_Responses[[#This Row],[Q1.  Would you ever consider investing in gold?]]="Yes",1, IF(Form_Responses[[#This Row],[Q1.  Would you ever consider investing in gold?]]="No",2, IF(Form_Responses[[#This Row],[Q1.  Would you ever consider investing in gold?]]="Maybe",3, "")))</f>
        <v/>
      </c>
      <c r="L96" s="5"/>
      <c r="M96" s="5" t="str">
        <f>IF(Form_Responses[[#This Row],[Q2. Do you currently invest in any financial assets (for example: gold, stocks, bank deposits, cryptocurrency)?   ]]="No",2, IF(Form_Responses[[#This Row],[Q2. Do you currently invest in any financial assets (for example: gold, stocks, bank deposits, cryptocurrency)?   ]]="Yes",1, ""))</f>
        <v/>
      </c>
      <c r="N96" s="5"/>
      <c r="O96" s="5"/>
      <c r="P96" s="5"/>
      <c r="Q96" s="5"/>
      <c r="R96" s="5" t="str">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
      </c>
      <c r="S96" s="5"/>
      <c r="T9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6" s="5"/>
      <c r="V96" s="5" t="str">
        <f>IF(Form_Responses[[#This Row],[Q2:   Are you interested in digital assets such as cryptocurrencies?  ]]="Yes",1, IF(Form_Responses[[#This Row],[Q2:   Are you interested in digital assets such as cryptocurrencies?  ]]="No",2,""))</f>
        <v/>
      </c>
      <c r="W96" s="5"/>
      <c r="X9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6" s="5"/>
      <c r="Z96" s="5"/>
      <c r="AA96" s="5"/>
      <c r="AB9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6" s="5"/>
      <c r="AD9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6" s="5"/>
      <c r="AF96" s="5"/>
      <c r="AG96" s="5"/>
      <c r="AH96"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6" s="5"/>
      <c r="AJ96" s="5"/>
      <c r="AK96"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6" s="5"/>
      <c r="AM96" s="5"/>
      <c r="AN96" s="5"/>
      <c r="AO9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6" s="5"/>
      <c r="AQ9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6" s="5"/>
      <c r="AS96" s="5"/>
      <c r="AT9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6" s="5"/>
      <c r="AV9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6" s="5"/>
      <c r="AX96" s="5"/>
    </row>
    <row r="97" spans="1:50" ht="22.5" customHeight="1" x14ac:dyDescent="0.2">
      <c r="A97" s="3">
        <v>46052.770501828709</v>
      </c>
      <c r="B97" s="4" t="s">
        <v>278</v>
      </c>
      <c r="C9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1</v>
      </c>
      <c r="D97" s="5"/>
      <c r="E97" s="5" t="str">
        <f>IF(Form_Responses[[#This Row],[Q1: What is your gender?]]="Male",1, IF(Form_Responses[[#This Row],[Q1: What is your gender?]]="Female",2,IF(Form_Responses[[#This Row],[Q1: What is your gender?]]="Prefer not to say", 3,"")))</f>
        <v/>
      </c>
      <c r="F97" s="5"/>
      <c r="G97" s="5" t="str">
        <f>IF(Form_Responses[[#This Row],[Q2:  What is your nationality?  ]]="Bhutanese (living in Bhutan)",1, IF(Form_Responses[[#This Row],[Q2:  What is your nationality?  ]]="Bhutanese (living outside Bhutan)",2, IF(Form_Responses[[#This Row],[Q2:  What is your nationality?  ]]="International resident",3, "")))</f>
        <v/>
      </c>
      <c r="H97" s="5"/>
      <c r="I97" s="5" t="str">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
      </c>
      <c r="J97" s="5"/>
      <c r="K97" s="5" t="str">
        <f>IF(Form_Responses[[#This Row],[Q1.  Would you ever consider investing in gold?]]="Yes",1, IF(Form_Responses[[#This Row],[Q1.  Would you ever consider investing in gold?]]="No",2, IF(Form_Responses[[#This Row],[Q1.  Would you ever consider investing in gold?]]="Maybe",3, "")))</f>
        <v/>
      </c>
      <c r="L97" s="5"/>
      <c r="M97" s="5" t="str">
        <f>IF(Form_Responses[[#This Row],[Q2. Do you currently invest in any financial assets (for example: gold, stocks, bank deposits, cryptocurrency)?   ]]="No",2, IF(Form_Responses[[#This Row],[Q2. Do you currently invest in any financial assets (for example: gold, stocks, bank deposits, cryptocurrency)?   ]]="Yes",1, ""))</f>
        <v/>
      </c>
      <c r="N97" s="5"/>
      <c r="O97" s="5"/>
      <c r="P97" s="5"/>
      <c r="Q97" s="5"/>
      <c r="R97" s="5" t="str">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
      </c>
      <c r="S97" s="5"/>
      <c r="T9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7" s="5"/>
      <c r="V97" s="5" t="str">
        <f>IF(Form_Responses[[#This Row],[Q2:   Are you interested in digital assets such as cryptocurrencies?  ]]="Yes",1, IF(Form_Responses[[#This Row],[Q2:   Are you interested in digital assets such as cryptocurrencies?  ]]="No",2,""))</f>
        <v/>
      </c>
      <c r="W97" s="5"/>
      <c r="X9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7" s="5"/>
      <c r="Z97" s="5"/>
      <c r="AA97" s="5"/>
      <c r="AB9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7" s="5"/>
      <c r="AD9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7" s="5"/>
      <c r="AF97" s="5"/>
      <c r="AG97" s="5"/>
      <c r="AH97"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7" s="5"/>
      <c r="AJ97" s="5"/>
      <c r="AK97"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7" s="5"/>
      <c r="AM97" s="5"/>
      <c r="AN97" s="5"/>
      <c r="AO9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7" s="5"/>
      <c r="AQ9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7" s="5"/>
      <c r="AS97" s="5"/>
      <c r="AT9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7" s="5"/>
      <c r="AV9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7" s="5"/>
      <c r="AX97" s="5"/>
    </row>
    <row r="98" spans="1:50" ht="22.5" customHeight="1" x14ac:dyDescent="0.2">
      <c r="A98" s="3">
        <v>46052.770669131947</v>
      </c>
      <c r="B98" s="4" t="s">
        <v>278</v>
      </c>
      <c r="C9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1</v>
      </c>
      <c r="D98" s="5"/>
      <c r="E98" s="5" t="str">
        <f>IF(Form_Responses[[#This Row],[Q1: What is your gender?]]="Male",1, IF(Form_Responses[[#This Row],[Q1: What is your gender?]]="Female",2,IF(Form_Responses[[#This Row],[Q1: What is your gender?]]="Prefer not to say", 3,"")))</f>
        <v/>
      </c>
      <c r="F98" s="5"/>
      <c r="G98" s="5" t="str">
        <f>IF(Form_Responses[[#This Row],[Q2:  What is your nationality?  ]]="Bhutanese (living in Bhutan)",1, IF(Form_Responses[[#This Row],[Q2:  What is your nationality?  ]]="Bhutanese (living outside Bhutan)",2, IF(Form_Responses[[#This Row],[Q2:  What is your nationality?  ]]="International resident",3, "")))</f>
        <v/>
      </c>
      <c r="H98" s="5"/>
      <c r="I98" s="5" t="str">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
      </c>
      <c r="J98" s="5"/>
      <c r="K98" s="5" t="str">
        <f>IF(Form_Responses[[#This Row],[Q1.  Would you ever consider investing in gold?]]="Yes",1, IF(Form_Responses[[#This Row],[Q1.  Would you ever consider investing in gold?]]="No",2, IF(Form_Responses[[#This Row],[Q1.  Would you ever consider investing in gold?]]="Maybe",3, "")))</f>
        <v/>
      </c>
      <c r="L98" s="5"/>
      <c r="M98" s="5" t="str">
        <f>IF(Form_Responses[[#This Row],[Q2. Do you currently invest in any financial assets (for example: gold, stocks, bank deposits, cryptocurrency)?   ]]="No",2, IF(Form_Responses[[#This Row],[Q2. Do you currently invest in any financial assets (for example: gold, stocks, bank deposits, cryptocurrency)?   ]]="Yes",1, ""))</f>
        <v/>
      </c>
      <c r="N98" s="5"/>
      <c r="O98" s="5"/>
      <c r="P98" s="5"/>
      <c r="Q98" s="5"/>
      <c r="R98" s="5" t="str">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
      </c>
      <c r="S98" s="5"/>
      <c r="T9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8" s="5"/>
      <c r="V98" s="5" t="str">
        <f>IF(Form_Responses[[#This Row],[Q2:   Are you interested in digital assets such as cryptocurrencies?  ]]="Yes",1, IF(Form_Responses[[#This Row],[Q2:   Are you interested in digital assets such as cryptocurrencies?  ]]="No",2,""))</f>
        <v/>
      </c>
      <c r="W98" s="5"/>
      <c r="X9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8" s="5"/>
      <c r="Z98" s="5"/>
      <c r="AA98" s="5"/>
      <c r="AB9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8" s="5"/>
      <c r="AD9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8" s="5"/>
      <c r="AF98" s="5"/>
      <c r="AG98" s="5"/>
      <c r="AH98"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8" s="5"/>
      <c r="AJ98" s="5"/>
      <c r="AK9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8" s="5"/>
      <c r="AM98" s="5"/>
      <c r="AN98" s="5"/>
      <c r="AO9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8" s="5"/>
      <c r="AQ9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8" s="5"/>
      <c r="AS98" s="5"/>
      <c r="AT9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8" s="5"/>
      <c r="AV9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8" s="5"/>
      <c r="AX98" s="5"/>
    </row>
    <row r="99" spans="1:50" ht="22.5" customHeight="1" x14ac:dyDescent="0.2">
      <c r="A99" s="3">
        <v>46052.770932928237</v>
      </c>
      <c r="B99" s="4" t="s">
        <v>278</v>
      </c>
      <c r="C9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1</v>
      </c>
      <c r="D99" s="5"/>
      <c r="E99" s="5" t="str">
        <f>IF(Form_Responses[[#This Row],[Q1: What is your gender?]]="Male",1, IF(Form_Responses[[#This Row],[Q1: What is your gender?]]="Female",2,IF(Form_Responses[[#This Row],[Q1: What is your gender?]]="Prefer not to say", 3,"")))</f>
        <v/>
      </c>
      <c r="F99" s="5"/>
      <c r="G99" s="5" t="str">
        <f>IF(Form_Responses[[#This Row],[Q2:  What is your nationality?  ]]="Bhutanese (living in Bhutan)",1, IF(Form_Responses[[#This Row],[Q2:  What is your nationality?  ]]="Bhutanese (living outside Bhutan)",2, IF(Form_Responses[[#This Row],[Q2:  What is your nationality?  ]]="International resident",3, "")))</f>
        <v/>
      </c>
      <c r="H99" s="5"/>
      <c r="I99" s="5" t="str">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
      </c>
      <c r="J99" s="5"/>
      <c r="K99" s="5" t="str">
        <f>IF(Form_Responses[[#This Row],[Q1.  Would you ever consider investing in gold?]]="Yes",1, IF(Form_Responses[[#This Row],[Q1.  Would you ever consider investing in gold?]]="No",2, IF(Form_Responses[[#This Row],[Q1.  Would you ever consider investing in gold?]]="Maybe",3, "")))</f>
        <v/>
      </c>
      <c r="L99" s="5"/>
      <c r="M99" s="5" t="str">
        <f>IF(Form_Responses[[#This Row],[Q2. Do you currently invest in any financial assets (for example: gold, stocks, bank deposits, cryptocurrency)?   ]]="No",2, IF(Form_Responses[[#This Row],[Q2. Do you currently invest in any financial assets (for example: gold, stocks, bank deposits, cryptocurrency)?   ]]="Yes",1, ""))</f>
        <v/>
      </c>
      <c r="N99" s="5"/>
      <c r="O99" s="5"/>
      <c r="P99" s="5"/>
      <c r="Q99" s="5"/>
      <c r="R99" s="5" t="str">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
      </c>
      <c r="S99" s="5"/>
      <c r="T9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99" s="5"/>
      <c r="V99" s="5" t="str">
        <f>IF(Form_Responses[[#This Row],[Q2:   Are you interested in digital assets such as cryptocurrencies?  ]]="Yes",1, IF(Form_Responses[[#This Row],[Q2:   Are you interested in digital assets such as cryptocurrencies?  ]]="No",2,""))</f>
        <v/>
      </c>
      <c r="W99" s="5"/>
      <c r="X9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99" s="5"/>
      <c r="Z99" s="5"/>
      <c r="AA99" s="5"/>
      <c r="AB9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99" s="5"/>
      <c r="AD9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99" s="5"/>
      <c r="AF99" s="5"/>
      <c r="AG99" s="5"/>
      <c r="AH99"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99" s="5"/>
      <c r="AJ99" s="5"/>
      <c r="AK9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99" s="5"/>
      <c r="AM99" s="5"/>
      <c r="AN99" s="5"/>
      <c r="AO9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99" s="5"/>
      <c r="AQ9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99" s="5"/>
      <c r="AS99" s="5"/>
      <c r="AT9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99" s="5"/>
      <c r="AV9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99" s="5"/>
      <c r="AX99" s="5"/>
    </row>
    <row r="100" spans="1:50" ht="22.5" customHeight="1" x14ac:dyDescent="0.2">
      <c r="A100" s="3">
        <v>46052.771644479166</v>
      </c>
      <c r="B100" s="4" t="s">
        <v>181</v>
      </c>
      <c r="C10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5</v>
      </c>
      <c r="D100" s="4" t="s">
        <v>32</v>
      </c>
      <c r="E100" s="5">
        <f>IF(Form_Responses[[#This Row],[Q1: What is your gender?]]="Male",1, IF(Form_Responses[[#This Row],[Q1: What is your gender?]]="Female",2,IF(Form_Responses[[#This Row],[Q1: What is your gender?]]="Prefer not to say", 3,"")))</f>
        <v>1</v>
      </c>
      <c r="F100" s="4" t="s">
        <v>33</v>
      </c>
      <c r="G100" s="5">
        <f>IF(Form_Responses[[#This Row],[Q2:  What is your nationality?  ]]="Bhutanese (living in Bhutan)",1, IF(Form_Responses[[#This Row],[Q2:  What is your nationality?  ]]="Bhutanese (living outside Bhutan)",2, IF(Form_Responses[[#This Row],[Q2:  What is your nationality?  ]]="International resident",3, "")))</f>
        <v>1</v>
      </c>
      <c r="H100" s="4" t="s">
        <v>56</v>
      </c>
      <c r="I10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0" s="4" t="s">
        <v>60</v>
      </c>
      <c r="K100" s="5">
        <f>IF(Form_Responses[[#This Row],[Q1.  Would you ever consider investing in gold?]]="Yes",1, IF(Form_Responses[[#This Row],[Q1.  Would you ever consider investing in gold?]]="No",2, IF(Form_Responses[[#This Row],[Q1.  Would you ever consider investing in gold?]]="Maybe",3, "")))</f>
        <v>3</v>
      </c>
      <c r="L100" s="4" t="s">
        <v>36</v>
      </c>
      <c r="M10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0" s="5"/>
      <c r="O100" s="5"/>
      <c r="P100" s="4" t="s">
        <v>94</v>
      </c>
      <c r="Q100" s="4" t="s">
        <v>80</v>
      </c>
      <c r="R10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00" s="4" t="s">
        <v>35</v>
      </c>
      <c r="T10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00" s="4" t="s">
        <v>35</v>
      </c>
      <c r="V100" s="5">
        <f>IF(Form_Responses[[#This Row],[Q2:   Are you interested in digital assets such as cryptocurrencies?  ]]="Yes",1, IF(Form_Responses[[#This Row],[Q2:   Are you interested in digital assets such as cryptocurrencies?  ]]="No",2,""))</f>
        <v>1</v>
      </c>
      <c r="W100" s="5"/>
      <c r="X10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0" s="5"/>
      <c r="Z100" s="4" t="s">
        <v>53</v>
      </c>
      <c r="AA100" s="4" t="s">
        <v>35</v>
      </c>
      <c r="AB100"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00" s="4" t="s">
        <v>279</v>
      </c>
      <c r="AD100"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2</v>
      </c>
      <c r="AE100" s="4" t="s">
        <v>53</v>
      </c>
      <c r="AF100" s="5"/>
      <c r="AG100" s="5"/>
      <c r="AH10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00" s="5"/>
      <c r="AJ100" s="5"/>
      <c r="AK10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0" s="5"/>
      <c r="AM100" s="5"/>
      <c r="AN100" s="5"/>
      <c r="AO10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0" s="5"/>
      <c r="AQ10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0" s="5"/>
      <c r="AS100" s="5"/>
      <c r="AT10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0" s="5"/>
      <c r="AV10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0" s="5"/>
      <c r="AX100" s="5"/>
    </row>
    <row r="101" spans="1:50" ht="22.5" customHeight="1" x14ac:dyDescent="0.2">
      <c r="A101" s="3">
        <v>46052.772121284725</v>
      </c>
      <c r="B101" s="4" t="s">
        <v>31</v>
      </c>
      <c r="C10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1" s="4" t="s">
        <v>32</v>
      </c>
      <c r="E101" s="5">
        <f>IF(Form_Responses[[#This Row],[Q1: What is your gender?]]="Male",1, IF(Form_Responses[[#This Row],[Q1: What is your gender?]]="Female",2,IF(Form_Responses[[#This Row],[Q1: What is your gender?]]="Prefer not to say", 3,"")))</f>
        <v>1</v>
      </c>
      <c r="F101" s="4" t="s">
        <v>33</v>
      </c>
      <c r="G101" s="5">
        <f>IF(Form_Responses[[#This Row],[Q2:  What is your nationality?  ]]="Bhutanese (living in Bhutan)",1, IF(Form_Responses[[#This Row],[Q2:  What is your nationality?  ]]="Bhutanese (living outside Bhutan)",2, IF(Form_Responses[[#This Row],[Q2:  What is your nationality?  ]]="International resident",3, "")))</f>
        <v>1</v>
      </c>
      <c r="H101" s="4" t="s">
        <v>56</v>
      </c>
      <c r="I10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1" s="4" t="s">
        <v>35</v>
      </c>
      <c r="K101" s="5">
        <f>IF(Form_Responses[[#This Row],[Q1.  Would you ever consider investing in gold?]]="Yes",1, IF(Form_Responses[[#This Row],[Q1.  Would you ever consider investing in gold?]]="No",2, IF(Form_Responses[[#This Row],[Q1.  Would you ever consider investing in gold?]]="Maybe",3, "")))</f>
        <v>1</v>
      </c>
      <c r="L101" s="4" t="s">
        <v>36</v>
      </c>
      <c r="M10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1" s="5"/>
      <c r="O101" s="5"/>
      <c r="P101" s="4" t="s">
        <v>280</v>
      </c>
      <c r="Q101" s="4" t="s">
        <v>38</v>
      </c>
      <c r="R10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01" s="5"/>
      <c r="T10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1" s="5"/>
      <c r="V101" s="5" t="str">
        <f>IF(Form_Responses[[#This Row],[Q2:   Are you interested in digital assets such as cryptocurrencies?  ]]="Yes",1, IF(Form_Responses[[#This Row],[Q2:   Are you interested in digital assets such as cryptocurrencies?  ]]="No",2,""))</f>
        <v/>
      </c>
      <c r="W101" s="5"/>
      <c r="X10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1" s="5"/>
      <c r="Z101" s="5"/>
      <c r="AA101" s="5"/>
      <c r="AB10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1" s="5"/>
      <c r="AD10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1" s="5"/>
      <c r="AF101" s="5"/>
      <c r="AG101" s="4" t="s">
        <v>39</v>
      </c>
      <c r="AH10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01" s="4">
        <v>2</v>
      </c>
      <c r="AJ101" s="4" t="s">
        <v>40</v>
      </c>
      <c r="AK101"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101" s="4" t="s">
        <v>281</v>
      </c>
      <c r="AM101" s="5"/>
      <c r="AN101" s="5"/>
      <c r="AO10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1" s="5"/>
      <c r="AQ10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1" s="5"/>
      <c r="AS101" s="5"/>
      <c r="AT10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1" s="5"/>
      <c r="AV10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1" s="5"/>
      <c r="AX101" s="5"/>
    </row>
    <row r="102" spans="1:50" ht="22.5" customHeight="1" x14ac:dyDescent="0.2">
      <c r="A102" s="3">
        <v>46052.772449062497</v>
      </c>
      <c r="B102" s="4" t="s">
        <v>31</v>
      </c>
      <c r="C10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2" s="4" t="s">
        <v>32</v>
      </c>
      <c r="E102" s="5">
        <f>IF(Form_Responses[[#This Row],[Q1: What is your gender?]]="Male",1, IF(Form_Responses[[#This Row],[Q1: What is your gender?]]="Female",2,IF(Form_Responses[[#This Row],[Q1: What is your gender?]]="Prefer not to say", 3,"")))</f>
        <v>1</v>
      </c>
      <c r="F102" s="4" t="s">
        <v>33</v>
      </c>
      <c r="G102" s="5">
        <f>IF(Form_Responses[[#This Row],[Q2:  What is your nationality?  ]]="Bhutanese (living in Bhutan)",1, IF(Form_Responses[[#This Row],[Q2:  What is your nationality?  ]]="Bhutanese (living outside Bhutan)",2, IF(Form_Responses[[#This Row],[Q2:  What is your nationality?  ]]="International resident",3, "")))</f>
        <v>1</v>
      </c>
      <c r="H102" s="4" t="s">
        <v>56</v>
      </c>
      <c r="I10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2" s="4" t="s">
        <v>60</v>
      </c>
      <c r="K102" s="5">
        <f>IF(Form_Responses[[#This Row],[Q1.  Would you ever consider investing in gold?]]="Yes",1, IF(Form_Responses[[#This Row],[Q1.  Would you ever consider investing in gold?]]="No",2, IF(Form_Responses[[#This Row],[Q1.  Would you ever consider investing in gold?]]="Maybe",3, "")))</f>
        <v>3</v>
      </c>
      <c r="L102" s="4" t="s">
        <v>36</v>
      </c>
      <c r="M10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2" s="5"/>
      <c r="O102" s="5"/>
      <c r="P102" s="4" t="s">
        <v>282</v>
      </c>
      <c r="Q102" s="4" t="s">
        <v>84</v>
      </c>
      <c r="R10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102" s="5"/>
      <c r="T102"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2" s="5"/>
      <c r="V102" s="5" t="str">
        <f>IF(Form_Responses[[#This Row],[Q2:   Are you interested in digital assets such as cryptocurrencies?  ]]="Yes",1, IF(Form_Responses[[#This Row],[Q2:   Are you interested in digital assets such as cryptocurrencies?  ]]="No",2,""))</f>
        <v/>
      </c>
      <c r="W102" s="5"/>
      <c r="X10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2" s="5"/>
      <c r="Z102" s="5"/>
      <c r="AA102" s="5"/>
      <c r="AB10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2" s="5"/>
      <c r="AD10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2" s="5"/>
      <c r="AF102" s="5"/>
      <c r="AG102" s="4" t="s">
        <v>72</v>
      </c>
      <c r="AH102"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1</v>
      </c>
      <c r="AI102" s="4">
        <v>2</v>
      </c>
      <c r="AJ102" s="4" t="s">
        <v>40</v>
      </c>
      <c r="AK102"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102" s="4" t="s">
        <v>283</v>
      </c>
      <c r="AM102" s="5"/>
      <c r="AN102" s="5"/>
      <c r="AO10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2" s="5"/>
      <c r="AQ10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2" s="5"/>
      <c r="AS102" s="5"/>
      <c r="AT10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2" s="5"/>
      <c r="AV10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2" s="5"/>
      <c r="AX102" s="5"/>
    </row>
    <row r="103" spans="1:50" ht="22.5" customHeight="1" x14ac:dyDescent="0.2">
      <c r="A103" s="3">
        <v>46052.773323229165</v>
      </c>
      <c r="B103" s="4" t="s">
        <v>278</v>
      </c>
      <c r="C10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1</v>
      </c>
      <c r="D103" s="5"/>
      <c r="E103" s="5" t="str">
        <f>IF(Form_Responses[[#This Row],[Q1: What is your gender?]]="Male",1, IF(Form_Responses[[#This Row],[Q1: What is your gender?]]="Female",2,IF(Form_Responses[[#This Row],[Q1: What is your gender?]]="Prefer not to say", 3,"")))</f>
        <v/>
      </c>
      <c r="F103" s="5"/>
      <c r="G103" s="5" t="str">
        <f>IF(Form_Responses[[#This Row],[Q2:  What is your nationality?  ]]="Bhutanese (living in Bhutan)",1, IF(Form_Responses[[#This Row],[Q2:  What is your nationality?  ]]="Bhutanese (living outside Bhutan)",2, IF(Form_Responses[[#This Row],[Q2:  What is your nationality?  ]]="International resident",3, "")))</f>
        <v/>
      </c>
      <c r="H103" s="5"/>
      <c r="I103" s="5" t="str">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
      </c>
      <c r="J103" s="5"/>
      <c r="K103" s="5" t="str">
        <f>IF(Form_Responses[[#This Row],[Q1.  Would you ever consider investing in gold?]]="Yes",1, IF(Form_Responses[[#This Row],[Q1.  Would you ever consider investing in gold?]]="No",2, IF(Form_Responses[[#This Row],[Q1.  Would you ever consider investing in gold?]]="Maybe",3, "")))</f>
        <v/>
      </c>
      <c r="L103" s="5"/>
      <c r="M103" s="5" t="str">
        <f>IF(Form_Responses[[#This Row],[Q2. Do you currently invest in any financial assets (for example: gold, stocks, bank deposits, cryptocurrency)?   ]]="No",2, IF(Form_Responses[[#This Row],[Q2. Do you currently invest in any financial assets (for example: gold, stocks, bank deposits, cryptocurrency)?   ]]="Yes",1, ""))</f>
        <v/>
      </c>
      <c r="N103" s="5"/>
      <c r="O103" s="5"/>
      <c r="P103" s="5"/>
      <c r="Q103" s="5"/>
      <c r="R103" s="5" t="str">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
      </c>
      <c r="S103" s="5"/>
      <c r="T103"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3" s="5"/>
      <c r="V103" s="5" t="str">
        <f>IF(Form_Responses[[#This Row],[Q2:   Are you interested in digital assets such as cryptocurrencies?  ]]="Yes",1, IF(Form_Responses[[#This Row],[Q2:   Are you interested in digital assets such as cryptocurrencies?  ]]="No",2,""))</f>
        <v/>
      </c>
      <c r="W103" s="5"/>
      <c r="X10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3" s="5"/>
      <c r="Z103" s="5"/>
      <c r="AA103" s="5"/>
      <c r="AB103"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3" s="5"/>
      <c r="AD103"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3" s="5"/>
      <c r="AF103" s="5"/>
      <c r="AG103" s="5"/>
      <c r="AH103"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03" s="5"/>
      <c r="AJ103" s="5"/>
      <c r="AK10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3" s="5"/>
      <c r="AM103" s="5"/>
      <c r="AN103" s="5"/>
      <c r="AO10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3" s="5"/>
      <c r="AQ10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3" s="5"/>
      <c r="AS103" s="5"/>
      <c r="AT10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3" s="5"/>
      <c r="AV10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3" s="5"/>
      <c r="AX103" s="5"/>
    </row>
    <row r="104" spans="1:50" ht="22.5" customHeight="1" x14ac:dyDescent="0.2">
      <c r="A104" s="3">
        <v>46052.773990439819</v>
      </c>
      <c r="B104" s="4" t="s">
        <v>278</v>
      </c>
      <c r="C10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1</v>
      </c>
      <c r="D104" s="5"/>
      <c r="E104" s="5" t="str">
        <f>IF(Form_Responses[[#This Row],[Q1: What is your gender?]]="Male",1, IF(Form_Responses[[#This Row],[Q1: What is your gender?]]="Female",2,IF(Form_Responses[[#This Row],[Q1: What is your gender?]]="Prefer not to say", 3,"")))</f>
        <v/>
      </c>
      <c r="F104" s="5"/>
      <c r="G104" s="5" t="str">
        <f>IF(Form_Responses[[#This Row],[Q2:  What is your nationality?  ]]="Bhutanese (living in Bhutan)",1, IF(Form_Responses[[#This Row],[Q2:  What is your nationality?  ]]="Bhutanese (living outside Bhutan)",2, IF(Form_Responses[[#This Row],[Q2:  What is your nationality?  ]]="International resident",3, "")))</f>
        <v/>
      </c>
      <c r="H104" s="5"/>
      <c r="I104" s="5" t="str">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
      </c>
      <c r="J104" s="5"/>
      <c r="K104" s="5" t="str">
        <f>IF(Form_Responses[[#This Row],[Q1.  Would you ever consider investing in gold?]]="Yes",1, IF(Form_Responses[[#This Row],[Q1.  Would you ever consider investing in gold?]]="No",2, IF(Form_Responses[[#This Row],[Q1.  Would you ever consider investing in gold?]]="Maybe",3, "")))</f>
        <v/>
      </c>
      <c r="L104" s="5"/>
      <c r="M104" s="5" t="str">
        <f>IF(Form_Responses[[#This Row],[Q2. Do you currently invest in any financial assets (for example: gold, stocks, bank deposits, cryptocurrency)?   ]]="No",2, IF(Form_Responses[[#This Row],[Q2. Do you currently invest in any financial assets (for example: gold, stocks, bank deposits, cryptocurrency)?   ]]="Yes",1, ""))</f>
        <v/>
      </c>
      <c r="N104" s="5"/>
      <c r="O104" s="5"/>
      <c r="P104" s="5"/>
      <c r="Q104" s="5"/>
      <c r="R104" s="5" t="str">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
      </c>
      <c r="S104" s="5"/>
      <c r="T104"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4" s="5"/>
      <c r="V104" s="5" t="str">
        <f>IF(Form_Responses[[#This Row],[Q2:   Are you interested in digital assets such as cryptocurrencies?  ]]="Yes",1, IF(Form_Responses[[#This Row],[Q2:   Are you interested in digital assets such as cryptocurrencies?  ]]="No",2,""))</f>
        <v/>
      </c>
      <c r="W104" s="5"/>
      <c r="X10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4" s="5"/>
      <c r="Z104" s="5"/>
      <c r="AA104" s="5"/>
      <c r="AB104"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4" s="5"/>
      <c r="AD104"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4" s="5"/>
      <c r="AF104" s="5"/>
      <c r="AG104" s="5"/>
      <c r="AH104"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04" s="5"/>
      <c r="AJ104" s="5"/>
      <c r="AK10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4" s="5"/>
      <c r="AM104" s="5"/>
      <c r="AN104" s="5"/>
      <c r="AO10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4" s="5"/>
      <c r="AQ10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4" s="5"/>
      <c r="AS104" s="5"/>
      <c r="AT10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4" s="5"/>
      <c r="AV10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4" s="5"/>
      <c r="AX104" s="5"/>
    </row>
    <row r="105" spans="1:50" ht="22.5" customHeight="1" x14ac:dyDescent="0.2">
      <c r="A105" s="3">
        <v>46052.775153738425</v>
      </c>
      <c r="B105" s="4" t="s">
        <v>31</v>
      </c>
      <c r="C10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5" s="4" t="s">
        <v>63</v>
      </c>
      <c r="E105" s="5">
        <f>IF(Form_Responses[[#This Row],[Q1: What is your gender?]]="Male",1, IF(Form_Responses[[#This Row],[Q1: What is your gender?]]="Female",2,IF(Form_Responses[[#This Row],[Q1: What is your gender?]]="Prefer not to say", 3,"")))</f>
        <v>2</v>
      </c>
      <c r="F105" s="4" t="s">
        <v>33</v>
      </c>
      <c r="G105" s="5">
        <f>IF(Form_Responses[[#This Row],[Q2:  What is your nationality?  ]]="Bhutanese (living in Bhutan)",1, IF(Form_Responses[[#This Row],[Q2:  What is your nationality?  ]]="Bhutanese (living outside Bhutan)",2, IF(Form_Responses[[#This Row],[Q2:  What is your nationality?  ]]="International resident",3, "")))</f>
        <v>1</v>
      </c>
      <c r="H105" s="4" t="s">
        <v>56</v>
      </c>
      <c r="I10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5" s="4" t="s">
        <v>60</v>
      </c>
      <c r="K105" s="5">
        <f>IF(Form_Responses[[#This Row],[Q1.  Would you ever consider investing in gold?]]="Yes",1, IF(Form_Responses[[#This Row],[Q1.  Would you ever consider investing in gold?]]="No",2, IF(Form_Responses[[#This Row],[Q1.  Would you ever consider investing in gold?]]="Maybe",3, "")))</f>
        <v>3</v>
      </c>
      <c r="L105" s="4" t="s">
        <v>36</v>
      </c>
      <c r="M10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5" s="5"/>
      <c r="O105" s="5"/>
      <c r="P105" s="4" t="s">
        <v>284</v>
      </c>
      <c r="Q105" s="4" t="s">
        <v>80</v>
      </c>
      <c r="R10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05" s="4" t="s">
        <v>60</v>
      </c>
      <c r="T105"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05" s="4" t="s">
        <v>36</v>
      </c>
      <c r="V105" s="5">
        <f>IF(Form_Responses[[#This Row],[Q2:   Are you interested in digital assets such as cryptocurrencies?  ]]="Yes",1, IF(Form_Responses[[#This Row],[Q2:   Are you interested in digital assets such as cryptocurrencies?  ]]="No",2,""))</f>
        <v>2</v>
      </c>
      <c r="W105" s="4" t="s">
        <v>285</v>
      </c>
      <c r="X105"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3</v>
      </c>
      <c r="Y105" s="4" t="s">
        <v>60</v>
      </c>
      <c r="Z105" s="5"/>
      <c r="AA105" s="5"/>
      <c r="AB10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5" s="5"/>
      <c r="AD10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5" s="5"/>
      <c r="AF105" s="5"/>
      <c r="AG105" s="5"/>
      <c r="AH105"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05" s="5"/>
      <c r="AJ105" s="5"/>
      <c r="AK10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5" s="5"/>
      <c r="AM105" s="5"/>
      <c r="AN105" s="5"/>
      <c r="AO10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5" s="5"/>
      <c r="AQ10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5" s="5"/>
      <c r="AS105" s="5"/>
      <c r="AT10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5" s="5"/>
      <c r="AV10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5" s="5"/>
      <c r="AX105" s="5"/>
    </row>
    <row r="106" spans="1:50" ht="22.5" customHeight="1" x14ac:dyDescent="0.2">
      <c r="A106" s="3">
        <v>46052.776079502313</v>
      </c>
      <c r="B106" s="4" t="s">
        <v>31</v>
      </c>
      <c r="C10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6" s="4" t="s">
        <v>32</v>
      </c>
      <c r="E106" s="5">
        <f>IF(Form_Responses[[#This Row],[Q1: What is your gender?]]="Male",1, IF(Form_Responses[[#This Row],[Q1: What is your gender?]]="Female",2,IF(Form_Responses[[#This Row],[Q1: What is your gender?]]="Prefer not to say", 3,"")))</f>
        <v>1</v>
      </c>
      <c r="F106" s="4" t="s">
        <v>33</v>
      </c>
      <c r="G106" s="5">
        <f>IF(Form_Responses[[#This Row],[Q2:  What is your nationality?  ]]="Bhutanese (living in Bhutan)",1, IF(Form_Responses[[#This Row],[Q2:  What is your nationality?  ]]="Bhutanese (living outside Bhutan)",2, IF(Form_Responses[[#This Row],[Q2:  What is your nationality?  ]]="International resident",3, "")))</f>
        <v>1</v>
      </c>
      <c r="H106" s="4" t="s">
        <v>56</v>
      </c>
      <c r="I10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6" s="4" t="s">
        <v>35</v>
      </c>
      <c r="K106" s="5">
        <f>IF(Form_Responses[[#This Row],[Q1.  Would you ever consider investing in gold?]]="Yes",1, IF(Form_Responses[[#This Row],[Q1.  Would you ever consider investing in gold?]]="No",2, IF(Form_Responses[[#This Row],[Q1.  Would you ever consider investing in gold?]]="Maybe",3, "")))</f>
        <v>1</v>
      </c>
      <c r="L106" s="4" t="s">
        <v>35</v>
      </c>
      <c r="M106"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06" s="4" t="s">
        <v>74</v>
      </c>
      <c r="O106" s="4">
        <v>3</v>
      </c>
      <c r="P106" s="5"/>
      <c r="Q106" s="4" t="s">
        <v>84</v>
      </c>
      <c r="R10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106" s="5"/>
      <c r="T10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6" s="5"/>
      <c r="V106" s="5" t="str">
        <f>IF(Form_Responses[[#This Row],[Q2:   Are you interested in digital assets such as cryptocurrencies?  ]]="Yes",1, IF(Form_Responses[[#This Row],[Q2:   Are you interested in digital assets such as cryptocurrencies?  ]]="No",2,""))</f>
        <v/>
      </c>
      <c r="W106" s="5"/>
      <c r="X10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6" s="5"/>
      <c r="Z106" s="5"/>
      <c r="AA106" s="5"/>
      <c r="AB10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6" s="5"/>
      <c r="AD10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6" s="5"/>
      <c r="AF106" s="5"/>
      <c r="AG106" s="4" t="s">
        <v>43</v>
      </c>
      <c r="AH10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106" s="5"/>
      <c r="AJ106" s="5"/>
      <c r="AK106"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6" s="5"/>
      <c r="AM106" s="4">
        <v>3</v>
      </c>
      <c r="AN106" s="4" t="s">
        <v>286</v>
      </c>
      <c r="AO106"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19</v>
      </c>
      <c r="AP106" s="4" t="s">
        <v>98</v>
      </c>
      <c r="AQ106"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3</v>
      </c>
      <c r="AR106" s="4">
        <v>3</v>
      </c>
      <c r="AS106" s="4" t="s">
        <v>87</v>
      </c>
      <c r="AT106"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106" s="4" t="s">
        <v>68</v>
      </c>
      <c r="AV106"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106" s="4">
        <v>3</v>
      </c>
      <c r="AX106" s="4" t="s">
        <v>287</v>
      </c>
    </row>
    <row r="107" spans="1:50" ht="22.5" customHeight="1" x14ac:dyDescent="0.2">
      <c r="A107" s="3">
        <v>46052.780248750001</v>
      </c>
      <c r="B107" s="4" t="s">
        <v>31</v>
      </c>
      <c r="C10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7" s="4" t="s">
        <v>32</v>
      </c>
      <c r="E107" s="5">
        <f>IF(Form_Responses[[#This Row],[Q1: What is your gender?]]="Male",1, IF(Form_Responses[[#This Row],[Q1: What is your gender?]]="Female",2,IF(Form_Responses[[#This Row],[Q1: What is your gender?]]="Prefer not to say", 3,"")))</f>
        <v>1</v>
      </c>
      <c r="F107" s="4" t="s">
        <v>33</v>
      </c>
      <c r="G107" s="5">
        <f>IF(Form_Responses[[#This Row],[Q2:  What is your nationality?  ]]="Bhutanese (living in Bhutan)",1, IF(Form_Responses[[#This Row],[Q2:  What is your nationality?  ]]="Bhutanese (living outside Bhutan)",2, IF(Form_Responses[[#This Row],[Q2:  What is your nationality?  ]]="International resident",3, "")))</f>
        <v>1</v>
      </c>
      <c r="H107" s="4" t="s">
        <v>56</v>
      </c>
      <c r="I10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7" s="4" t="s">
        <v>35</v>
      </c>
      <c r="K107" s="5">
        <f>IF(Form_Responses[[#This Row],[Q1.  Would you ever consider investing in gold?]]="Yes",1, IF(Form_Responses[[#This Row],[Q1.  Would you ever consider investing in gold?]]="No",2, IF(Form_Responses[[#This Row],[Q1.  Would you ever consider investing in gold?]]="Maybe",3, "")))</f>
        <v>1</v>
      </c>
      <c r="L107" s="4" t="s">
        <v>36</v>
      </c>
      <c r="M10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7" s="5"/>
      <c r="O107" s="5"/>
      <c r="P107" s="4" t="s">
        <v>288</v>
      </c>
      <c r="Q107" s="4" t="s">
        <v>38</v>
      </c>
      <c r="R10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07" s="5"/>
      <c r="T10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07" s="5"/>
      <c r="V107" s="5" t="str">
        <f>IF(Form_Responses[[#This Row],[Q2:   Are you interested in digital assets such as cryptocurrencies?  ]]="Yes",1, IF(Form_Responses[[#This Row],[Q2:   Are you interested in digital assets such as cryptocurrencies?  ]]="No",2,""))</f>
        <v/>
      </c>
      <c r="W107" s="5"/>
      <c r="X10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7" s="5"/>
      <c r="Z107" s="5"/>
      <c r="AA107" s="5"/>
      <c r="AB10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7" s="5"/>
      <c r="AD10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7" s="5"/>
      <c r="AF107" s="5"/>
      <c r="AG107" s="4" t="s">
        <v>39</v>
      </c>
      <c r="AH10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07" s="4">
        <v>4</v>
      </c>
      <c r="AJ107" s="4" t="s">
        <v>40</v>
      </c>
      <c r="AK107"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3</v>
      </c>
      <c r="AL107" s="4" t="s">
        <v>289</v>
      </c>
      <c r="AM107" s="5"/>
      <c r="AN107" s="5"/>
      <c r="AO10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7" s="5"/>
      <c r="AQ10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7" s="5"/>
      <c r="AS107" s="5"/>
      <c r="AT10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7" s="5"/>
      <c r="AV10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7" s="5"/>
      <c r="AX107" s="5"/>
    </row>
    <row r="108" spans="1:50" ht="22.5" customHeight="1" x14ac:dyDescent="0.2">
      <c r="A108" s="3">
        <v>46052.780358946758</v>
      </c>
      <c r="B108" s="4" t="s">
        <v>102</v>
      </c>
      <c r="C10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108" s="4" t="s">
        <v>32</v>
      </c>
      <c r="E108" s="5">
        <f>IF(Form_Responses[[#This Row],[Q1: What is your gender?]]="Male",1, IF(Form_Responses[[#This Row],[Q1: What is your gender?]]="Female",2,IF(Form_Responses[[#This Row],[Q1: What is your gender?]]="Prefer not to say", 3,"")))</f>
        <v>1</v>
      </c>
      <c r="F108" s="4" t="s">
        <v>33</v>
      </c>
      <c r="G108" s="5">
        <f>IF(Form_Responses[[#This Row],[Q2:  What is your nationality?  ]]="Bhutanese (living in Bhutan)",1, IF(Form_Responses[[#This Row],[Q2:  What is your nationality?  ]]="Bhutanese (living outside Bhutan)",2, IF(Form_Responses[[#This Row],[Q2:  What is your nationality?  ]]="International resident",3, "")))</f>
        <v>1</v>
      </c>
      <c r="H108" s="4" t="s">
        <v>56</v>
      </c>
      <c r="I10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08" s="4" t="s">
        <v>60</v>
      </c>
      <c r="K108" s="5">
        <f>IF(Form_Responses[[#This Row],[Q1.  Would you ever consider investing in gold?]]="Yes",1, IF(Form_Responses[[#This Row],[Q1.  Would you ever consider investing in gold?]]="No",2, IF(Form_Responses[[#This Row],[Q1.  Would you ever consider investing in gold?]]="Maybe",3, "")))</f>
        <v>3</v>
      </c>
      <c r="L108" s="4" t="s">
        <v>35</v>
      </c>
      <c r="M108"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08" s="4" t="s">
        <v>290</v>
      </c>
      <c r="O108" s="4">
        <v>2</v>
      </c>
      <c r="P108" s="5"/>
      <c r="Q108" s="4" t="s">
        <v>80</v>
      </c>
      <c r="R10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08" s="4" t="s">
        <v>35</v>
      </c>
      <c r="T108"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08" s="4" t="s">
        <v>36</v>
      </c>
      <c r="V108" s="5">
        <f>IF(Form_Responses[[#This Row],[Q2:   Are you interested in digital assets such as cryptocurrencies?  ]]="Yes",1, IF(Form_Responses[[#This Row],[Q2:   Are you interested in digital assets such as cryptocurrencies?  ]]="No",2,""))</f>
        <v>2</v>
      </c>
      <c r="W108" s="4" t="s">
        <v>208</v>
      </c>
      <c r="X108"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4</v>
      </c>
      <c r="Y108" s="4" t="s">
        <v>291</v>
      </c>
      <c r="Z108" s="5"/>
      <c r="AA108" s="5"/>
      <c r="AB10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08" s="5"/>
      <c r="AD10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08" s="5"/>
      <c r="AF108" s="5"/>
      <c r="AG108" s="5"/>
      <c r="AH108"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08" s="5"/>
      <c r="AJ108" s="5"/>
      <c r="AK10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8" s="5"/>
      <c r="AM108" s="5"/>
      <c r="AN108" s="5"/>
      <c r="AO108"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8" s="5"/>
      <c r="AQ108"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8" s="5"/>
      <c r="AS108" s="5"/>
      <c r="AT108"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8" s="5"/>
      <c r="AV10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8" s="5"/>
      <c r="AX108" s="5"/>
    </row>
    <row r="109" spans="1:50" ht="22.5" customHeight="1" x14ac:dyDescent="0.2">
      <c r="A109" s="3">
        <v>46052.781802094905</v>
      </c>
      <c r="B109" s="4" t="s">
        <v>31</v>
      </c>
      <c r="C10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09" s="4" t="s">
        <v>63</v>
      </c>
      <c r="E109" s="5">
        <f>IF(Form_Responses[[#This Row],[Q1: What is your gender?]]="Male",1, IF(Form_Responses[[#This Row],[Q1: What is your gender?]]="Female",2,IF(Form_Responses[[#This Row],[Q1: What is your gender?]]="Prefer not to say", 3,"")))</f>
        <v>2</v>
      </c>
      <c r="F109" s="4" t="s">
        <v>33</v>
      </c>
      <c r="G109" s="5">
        <f>IF(Form_Responses[[#This Row],[Q2:  What is your nationality?  ]]="Bhutanese (living in Bhutan)",1, IF(Form_Responses[[#This Row],[Q2:  What is your nationality?  ]]="Bhutanese (living outside Bhutan)",2, IF(Form_Responses[[#This Row],[Q2:  What is your nationality?  ]]="International resident",3, "")))</f>
        <v>1</v>
      </c>
      <c r="H109" s="4" t="s">
        <v>34</v>
      </c>
      <c r="I10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09" s="4" t="s">
        <v>60</v>
      </c>
      <c r="K109" s="5">
        <f>IF(Form_Responses[[#This Row],[Q1.  Would you ever consider investing in gold?]]="Yes",1, IF(Form_Responses[[#This Row],[Q1.  Would you ever consider investing in gold?]]="No",2, IF(Form_Responses[[#This Row],[Q1.  Would you ever consider investing in gold?]]="Maybe",3, "")))</f>
        <v>3</v>
      </c>
      <c r="L109" s="4" t="s">
        <v>36</v>
      </c>
      <c r="M10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09" s="5"/>
      <c r="O109" s="5"/>
      <c r="P109" s="4" t="s">
        <v>292</v>
      </c>
      <c r="Q109" s="4" t="s">
        <v>80</v>
      </c>
      <c r="R10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09" s="4" t="s">
        <v>60</v>
      </c>
      <c r="T109"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09" s="4" t="s">
        <v>35</v>
      </c>
      <c r="V109" s="5">
        <f>IF(Form_Responses[[#This Row],[Q2:   Are you interested in digital assets such as cryptocurrencies?  ]]="Yes",1, IF(Form_Responses[[#This Row],[Q2:   Are you interested in digital assets such as cryptocurrencies?  ]]="No",2,""))</f>
        <v>1</v>
      </c>
      <c r="W109" s="5"/>
      <c r="X10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09" s="5"/>
      <c r="Z109" s="4" t="s">
        <v>293</v>
      </c>
      <c r="AA109" s="4" t="s">
        <v>60</v>
      </c>
      <c r="AB109"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109" s="4" t="s">
        <v>279</v>
      </c>
      <c r="AD109"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2</v>
      </c>
      <c r="AE109" s="4" t="s">
        <v>294</v>
      </c>
      <c r="AF109" s="5"/>
      <c r="AG109" s="5"/>
      <c r="AH109"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09" s="5"/>
      <c r="AJ109" s="5"/>
      <c r="AK10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09" s="5"/>
      <c r="AM109" s="5"/>
      <c r="AN109" s="5"/>
      <c r="AO109"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09" s="5"/>
      <c r="AQ109"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09" s="5"/>
      <c r="AS109" s="5"/>
      <c r="AT109"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09" s="5"/>
      <c r="AV109"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09" s="5"/>
      <c r="AX109" s="5"/>
    </row>
    <row r="110" spans="1:50" ht="22.5" customHeight="1" x14ac:dyDescent="0.2">
      <c r="A110" s="3">
        <v>46052.783168692127</v>
      </c>
      <c r="B110" s="4" t="s">
        <v>31</v>
      </c>
      <c r="C11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0" s="4" t="s">
        <v>32</v>
      </c>
      <c r="E110" s="5">
        <f>IF(Form_Responses[[#This Row],[Q1: What is your gender?]]="Male",1, IF(Form_Responses[[#This Row],[Q1: What is your gender?]]="Female",2,IF(Form_Responses[[#This Row],[Q1: What is your gender?]]="Prefer not to say", 3,"")))</f>
        <v>1</v>
      </c>
      <c r="F110" s="4" t="s">
        <v>33</v>
      </c>
      <c r="G110" s="5">
        <f>IF(Form_Responses[[#This Row],[Q2:  What is your nationality?  ]]="Bhutanese (living in Bhutan)",1, IF(Form_Responses[[#This Row],[Q2:  What is your nationality?  ]]="Bhutanese (living outside Bhutan)",2, IF(Form_Responses[[#This Row],[Q2:  What is your nationality?  ]]="International resident",3, "")))</f>
        <v>1</v>
      </c>
      <c r="H110" s="4" t="s">
        <v>34</v>
      </c>
      <c r="I11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10" s="4" t="s">
        <v>35</v>
      </c>
      <c r="K110" s="5">
        <f>IF(Form_Responses[[#This Row],[Q1.  Would you ever consider investing in gold?]]="Yes",1, IF(Form_Responses[[#This Row],[Q1.  Would you ever consider investing in gold?]]="No",2, IF(Form_Responses[[#This Row],[Q1.  Would you ever consider investing in gold?]]="Maybe",3, "")))</f>
        <v>1</v>
      </c>
      <c r="L110" s="4" t="s">
        <v>36</v>
      </c>
      <c r="M11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0" s="5"/>
      <c r="O110" s="5"/>
      <c r="P110" s="4" t="s">
        <v>146</v>
      </c>
      <c r="Q110" s="4" t="s">
        <v>80</v>
      </c>
      <c r="R11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10" s="4" t="s">
        <v>35</v>
      </c>
      <c r="T110"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10" s="4" t="s">
        <v>35</v>
      </c>
      <c r="V110" s="5">
        <f>IF(Form_Responses[[#This Row],[Q2:   Are you interested in digital assets such as cryptocurrencies?  ]]="Yes",1, IF(Form_Responses[[#This Row],[Q2:   Are you interested in digital assets such as cryptocurrencies?  ]]="No",2,""))</f>
        <v>1</v>
      </c>
      <c r="W110" s="5"/>
      <c r="X11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0" s="5"/>
      <c r="Z110" s="4" t="s">
        <v>295</v>
      </c>
      <c r="AA110" s="4" t="s">
        <v>35</v>
      </c>
      <c r="AB110"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10" s="4" t="s">
        <v>82</v>
      </c>
      <c r="AD110"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5</v>
      </c>
      <c r="AE110" s="4" t="s">
        <v>83</v>
      </c>
      <c r="AF110" s="5"/>
      <c r="AG110" s="5"/>
      <c r="AH110"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10" s="5"/>
      <c r="AJ110" s="5"/>
      <c r="AK110"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0" s="5"/>
      <c r="AM110" s="5"/>
      <c r="AN110" s="5"/>
      <c r="AO11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0" s="5"/>
      <c r="AQ11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0" s="5"/>
      <c r="AS110" s="5"/>
      <c r="AT11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0" s="5"/>
      <c r="AV11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0" s="5"/>
      <c r="AX110" s="5"/>
    </row>
    <row r="111" spans="1:50" ht="22.5" customHeight="1" x14ac:dyDescent="0.2">
      <c r="A111" s="3">
        <v>46052.788532534723</v>
      </c>
      <c r="B111" s="4" t="s">
        <v>31</v>
      </c>
      <c r="C11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1" s="4" t="s">
        <v>63</v>
      </c>
      <c r="E111" s="5">
        <f>IF(Form_Responses[[#This Row],[Q1: What is your gender?]]="Male",1, IF(Form_Responses[[#This Row],[Q1: What is your gender?]]="Female",2,IF(Form_Responses[[#This Row],[Q1: What is your gender?]]="Prefer not to say", 3,"")))</f>
        <v>2</v>
      </c>
      <c r="F111" s="4" t="s">
        <v>33</v>
      </c>
      <c r="G111" s="5">
        <f>IF(Form_Responses[[#This Row],[Q2:  What is your nationality?  ]]="Bhutanese (living in Bhutan)",1, IF(Form_Responses[[#This Row],[Q2:  What is your nationality?  ]]="Bhutanese (living outside Bhutan)",2, IF(Form_Responses[[#This Row],[Q2:  What is your nationality?  ]]="International resident",3, "")))</f>
        <v>1</v>
      </c>
      <c r="H111" s="4" t="s">
        <v>56</v>
      </c>
      <c r="I11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1" s="4" t="s">
        <v>35</v>
      </c>
      <c r="K111" s="5">
        <f>IF(Form_Responses[[#This Row],[Q1.  Would you ever consider investing in gold?]]="Yes",1, IF(Form_Responses[[#This Row],[Q1.  Would you ever consider investing in gold?]]="No",2, IF(Form_Responses[[#This Row],[Q1.  Would you ever consider investing in gold?]]="Maybe",3, "")))</f>
        <v>1</v>
      </c>
      <c r="L111" s="4" t="s">
        <v>36</v>
      </c>
      <c r="M11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1" s="5"/>
      <c r="O111" s="5"/>
      <c r="P111" s="4" t="s">
        <v>296</v>
      </c>
      <c r="Q111" s="4" t="s">
        <v>80</v>
      </c>
      <c r="R11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11" s="4" t="s">
        <v>35</v>
      </c>
      <c r="T111"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11" s="4" t="s">
        <v>35</v>
      </c>
      <c r="V111" s="5">
        <f>IF(Form_Responses[[#This Row],[Q2:   Are you interested in digital assets such as cryptocurrencies?  ]]="Yes",1, IF(Form_Responses[[#This Row],[Q2:   Are you interested in digital assets such as cryptocurrencies?  ]]="No",2,""))</f>
        <v>1</v>
      </c>
      <c r="W111" s="5"/>
      <c r="X11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1" s="5"/>
      <c r="Z111" s="4" t="s">
        <v>297</v>
      </c>
      <c r="AA111" s="4" t="s">
        <v>60</v>
      </c>
      <c r="AB111"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111" s="4" t="s">
        <v>92</v>
      </c>
      <c r="AD111"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6</v>
      </c>
      <c r="AE111" s="4" t="s">
        <v>298</v>
      </c>
      <c r="AF111" s="5"/>
      <c r="AG111" s="5"/>
      <c r="AH111"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11" s="5"/>
      <c r="AJ111" s="5"/>
      <c r="AK111"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1" s="5"/>
      <c r="AM111" s="5"/>
      <c r="AN111" s="5"/>
      <c r="AO11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1" s="5"/>
      <c r="AQ11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1" s="5"/>
      <c r="AS111" s="5"/>
      <c r="AT11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1" s="5"/>
      <c r="AV11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1" s="5"/>
      <c r="AX111" s="5"/>
    </row>
    <row r="112" spans="1:50" ht="22.5" customHeight="1" x14ac:dyDescent="0.2">
      <c r="A112" s="3">
        <v>46052.813268101847</v>
      </c>
      <c r="B112" s="4" t="s">
        <v>31</v>
      </c>
      <c r="C11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2" s="4" t="s">
        <v>32</v>
      </c>
      <c r="E112" s="5">
        <f>IF(Form_Responses[[#This Row],[Q1: What is your gender?]]="Male",1, IF(Form_Responses[[#This Row],[Q1: What is your gender?]]="Female",2,IF(Form_Responses[[#This Row],[Q1: What is your gender?]]="Prefer not to say", 3,"")))</f>
        <v>1</v>
      </c>
      <c r="F112" s="4" t="s">
        <v>33</v>
      </c>
      <c r="G112" s="5">
        <f>IF(Form_Responses[[#This Row],[Q2:  What is your nationality?  ]]="Bhutanese (living in Bhutan)",1, IF(Form_Responses[[#This Row],[Q2:  What is your nationality?  ]]="Bhutanese (living outside Bhutan)",2, IF(Form_Responses[[#This Row],[Q2:  What is your nationality?  ]]="International resident",3, "")))</f>
        <v>1</v>
      </c>
      <c r="H112" s="4" t="s">
        <v>56</v>
      </c>
      <c r="I11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2" s="4" t="s">
        <v>35</v>
      </c>
      <c r="K112" s="5">
        <f>IF(Form_Responses[[#This Row],[Q1.  Would you ever consider investing in gold?]]="Yes",1, IF(Form_Responses[[#This Row],[Q1.  Would you ever consider investing in gold?]]="No",2, IF(Form_Responses[[#This Row],[Q1.  Would you ever consider investing in gold?]]="Maybe",3, "")))</f>
        <v>1</v>
      </c>
      <c r="L112" s="4" t="s">
        <v>36</v>
      </c>
      <c r="M11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2" s="5"/>
      <c r="O112" s="5"/>
      <c r="P112" s="4" t="s">
        <v>94</v>
      </c>
      <c r="Q112" s="4" t="s">
        <v>80</v>
      </c>
      <c r="R11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12" s="4" t="s">
        <v>35</v>
      </c>
      <c r="T112"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12" s="4" t="s">
        <v>35</v>
      </c>
      <c r="V112" s="5">
        <f>IF(Form_Responses[[#This Row],[Q2:   Are you interested in digital assets such as cryptocurrencies?  ]]="Yes",1, IF(Form_Responses[[#This Row],[Q2:   Are you interested in digital assets such as cryptocurrencies?  ]]="No",2,""))</f>
        <v>1</v>
      </c>
      <c r="W112" s="5"/>
      <c r="X112"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2" s="5"/>
      <c r="Z112" s="4" t="s">
        <v>299</v>
      </c>
      <c r="AA112" s="4" t="s">
        <v>60</v>
      </c>
      <c r="AB112"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112" s="4" t="s">
        <v>68</v>
      </c>
      <c r="AD112"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112" s="4" t="s">
        <v>300</v>
      </c>
      <c r="AF112" s="5"/>
      <c r="AG112" s="5"/>
      <c r="AH112"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12" s="5"/>
      <c r="AJ112" s="5"/>
      <c r="AK112"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2" s="5"/>
      <c r="AM112" s="5"/>
      <c r="AN112" s="5"/>
      <c r="AO11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2" s="5"/>
      <c r="AQ11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2" s="5"/>
      <c r="AS112" s="5"/>
      <c r="AT11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2" s="5"/>
      <c r="AV11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2" s="5"/>
      <c r="AX112" s="5"/>
    </row>
    <row r="113" spans="1:50" ht="22.5" customHeight="1" x14ac:dyDescent="0.2">
      <c r="A113" s="3">
        <v>46052.831254745368</v>
      </c>
      <c r="B113" s="4" t="s">
        <v>31</v>
      </c>
      <c r="C11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3" s="4" t="s">
        <v>32</v>
      </c>
      <c r="E113" s="5">
        <f>IF(Form_Responses[[#This Row],[Q1: What is your gender?]]="Male",1, IF(Form_Responses[[#This Row],[Q1: What is your gender?]]="Female",2,IF(Form_Responses[[#This Row],[Q1: What is your gender?]]="Prefer not to say", 3,"")))</f>
        <v>1</v>
      </c>
      <c r="F113" s="4" t="s">
        <v>33</v>
      </c>
      <c r="G113" s="5">
        <f>IF(Form_Responses[[#This Row],[Q2:  What is your nationality?  ]]="Bhutanese (living in Bhutan)",1, IF(Form_Responses[[#This Row],[Q2:  What is your nationality?  ]]="Bhutanese (living outside Bhutan)",2, IF(Form_Responses[[#This Row],[Q2:  What is your nationality?  ]]="International resident",3, "")))</f>
        <v>1</v>
      </c>
      <c r="H113" s="4" t="s">
        <v>56</v>
      </c>
      <c r="I11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3" s="4" t="s">
        <v>35</v>
      </c>
      <c r="K113" s="5">
        <f>IF(Form_Responses[[#This Row],[Q1.  Would you ever consider investing in gold?]]="Yes",1, IF(Form_Responses[[#This Row],[Q1.  Would you ever consider investing in gold?]]="No",2, IF(Form_Responses[[#This Row],[Q1.  Would you ever consider investing in gold?]]="Maybe",3, "")))</f>
        <v>1</v>
      </c>
      <c r="L113" s="4" t="s">
        <v>35</v>
      </c>
      <c r="M113"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13" s="4" t="s">
        <v>301</v>
      </c>
      <c r="O113" s="4">
        <v>4</v>
      </c>
      <c r="P113" s="5"/>
      <c r="Q113" s="4" t="s">
        <v>80</v>
      </c>
      <c r="R11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13" s="4" t="s">
        <v>35</v>
      </c>
      <c r="T113"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13" s="4" t="s">
        <v>35</v>
      </c>
      <c r="V113" s="5">
        <f>IF(Form_Responses[[#This Row],[Q2:   Are you interested in digital assets such as cryptocurrencies?  ]]="Yes",1, IF(Form_Responses[[#This Row],[Q2:   Are you interested in digital assets such as cryptocurrencies?  ]]="No",2,""))</f>
        <v>1</v>
      </c>
      <c r="W113" s="5"/>
      <c r="X11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3" s="5"/>
      <c r="Z113" s="4" t="s">
        <v>302</v>
      </c>
      <c r="AA113" s="4" t="s">
        <v>35</v>
      </c>
      <c r="AB113"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13" s="4" t="s">
        <v>82</v>
      </c>
      <c r="AD113"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5</v>
      </c>
      <c r="AE113" s="4" t="s">
        <v>303</v>
      </c>
      <c r="AF113" s="5"/>
      <c r="AG113" s="5"/>
      <c r="AH113"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13" s="5"/>
      <c r="AJ113" s="5"/>
      <c r="AK11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3" s="5"/>
      <c r="AM113" s="5"/>
      <c r="AN113" s="5"/>
      <c r="AO11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3" s="5"/>
      <c r="AQ11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3" s="5"/>
      <c r="AS113" s="5"/>
      <c r="AT11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3" s="5"/>
      <c r="AV11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3" s="5"/>
      <c r="AX113" s="5"/>
    </row>
    <row r="114" spans="1:50" ht="22.5" customHeight="1" x14ac:dyDescent="0.2">
      <c r="A114" s="3">
        <v>46052.843628032409</v>
      </c>
      <c r="B114" s="4" t="s">
        <v>31</v>
      </c>
      <c r="C11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4" s="4" t="s">
        <v>63</v>
      </c>
      <c r="E114" s="5">
        <f>IF(Form_Responses[[#This Row],[Q1: What is your gender?]]="Male",1, IF(Form_Responses[[#This Row],[Q1: What is your gender?]]="Female",2,IF(Form_Responses[[#This Row],[Q1: What is your gender?]]="Prefer not to say", 3,"")))</f>
        <v>2</v>
      </c>
      <c r="F114" s="4" t="s">
        <v>33</v>
      </c>
      <c r="G114" s="5">
        <f>IF(Form_Responses[[#This Row],[Q2:  What is your nationality?  ]]="Bhutanese (living in Bhutan)",1, IF(Form_Responses[[#This Row],[Q2:  What is your nationality?  ]]="Bhutanese (living outside Bhutan)",2, IF(Form_Responses[[#This Row],[Q2:  What is your nationality?  ]]="International resident",3, "")))</f>
        <v>1</v>
      </c>
      <c r="H114" s="4" t="s">
        <v>56</v>
      </c>
      <c r="I11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4" s="4" t="s">
        <v>60</v>
      </c>
      <c r="K114" s="5">
        <f>IF(Form_Responses[[#This Row],[Q1.  Would you ever consider investing in gold?]]="Yes",1, IF(Form_Responses[[#This Row],[Q1.  Would you ever consider investing in gold?]]="No",2, IF(Form_Responses[[#This Row],[Q1.  Would you ever consider investing in gold?]]="Maybe",3, "")))</f>
        <v>3</v>
      </c>
      <c r="L114" s="4" t="s">
        <v>36</v>
      </c>
      <c r="M114"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4" s="5"/>
      <c r="O114" s="5"/>
      <c r="P114" s="4" t="s">
        <v>304</v>
      </c>
      <c r="Q114" s="4" t="s">
        <v>66</v>
      </c>
      <c r="R11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1</v>
      </c>
      <c r="S114" s="4" t="s">
        <v>60</v>
      </c>
      <c r="T114"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14" s="4" t="s">
        <v>35</v>
      </c>
      <c r="V114" s="5">
        <f>IF(Form_Responses[[#This Row],[Q2:   Are you interested in digital assets such as cryptocurrencies?  ]]="Yes",1, IF(Form_Responses[[#This Row],[Q2:   Are you interested in digital assets such as cryptocurrencies?  ]]="No",2,""))</f>
        <v>1</v>
      </c>
      <c r="W114" s="5"/>
      <c r="X11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4" s="5"/>
      <c r="Z114" s="4" t="s">
        <v>305</v>
      </c>
      <c r="AA114" s="4" t="s">
        <v>35</v>
      </c>
      <c r="AB114"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14" s="4" t="s">
        <v>163</v>
      </c>
      <c r="AD114"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1</v>
      </c>
      <c r="AE114" s="4" t="s">
        <v>306</v>
      </c>
      <c r="AF114" s="5"/>
      <c r="AG114" s="5"/>
      <c r="AH114"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14" s="5"/>
      <c r="AJ114" s="5"/>
      <c r="AK11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4" s="5"/>
      <c r="AM114" s="5"/>
      <c r="AN114" s="5"/>
      <c r="AO11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4" s="5"/>
      <c r="AQ11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4" s="5"/>
      <c r="AS114" s="5"/>
      <c r="AT11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4" s="5"/>
      <c r="AV11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4" s="5"/>
      <c r="AX114" s="5"/>
    </row>
    <row r="115" spans="1:50" ht="22.5" customHeight="1" x14ac:dyDescent="0.2">
      <c r="A115" s="3">
        <v>46052.851244502315</v>
      </c>
      <c r="B115" s="4" t="s">
        <v>31</v>
      </c>
      <c r="C11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5" s="4" t="s">
        <v>32</v>
      </c>
      <c r="E115" s="5">
        <f>IF(Form_Responses[[#This Row],[Q1: What is your gender?]]="Male",1, IF(Form_Responses[[#This Row],[Q1: What is your gender?]]="Female",2,IF(Form_Responses[[#This Row],[Q1: What is your gender?]]="Prefer not to say", 3,"")))</f>
        <v>1</v>
      </c>
      <c r="F115" s="4" t="s">
        <v>33</v>
      </c>
      <c r="G115" s="5">
        <f>IF(Form_Responses[[#This Row],[Q2:  What is your nationality?  ]]="Bhutanese (living in Bhutan)",1, IF(Form_Responses[[#This Row],[Q2:  What is your nationality?  ]]="Bhutanese (living outside Bhutan)",2, IF(Form_Responses[[#This Row],[Q2:  What is your nationality?  ]]="International resident",3, "")))</f>
        <v>1</v>
      </c>
      <c r="H115" s="4" t="s">
        <v>56</v>
      </c>
      <c r="I11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5" s="4" t="s">
        <v>60</v>
      </c>
      <c r="K115" s="5">
        <f>IF(Form_Responses[[#This Row],[Q1.  Would you ever consider investing in gold?]]="Yes",1, IF(Form_Responses[[#This Row],[Q1.  Would you ever consider investing in gold?]]="No",2, IF(Form_Responses[[#This Row],[Q1.  Would you ever consider investing in gold?]]="Maybe",3, "")))</f>
        <v>3</v>
      </c>
      <c r="L115" s="4" t="s">
        <v>36</v>
      </c>
      <c r="M115"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5" s="5"/>
      <c r="O115" s="5"/>
      <c r="P115" s="4" t="s">
        <v>307</v>
      </c>
      <c r="Q115" s="4" t="s">
        <v>80</v>
      </c>
      <c r="R11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15" s="4" t="s">
        <v>60</v>
      </c>
      <c r="T115"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15" s="4" t="s">
        <v>35</v>
      </c>
      <c r="V115" s="5">
        <f>IF(Form_Responses[[#This Row],[Q2:   Are you interested in digital assets such as cryptocurrencies?  ]]="Yes",1, IF(Form_Responses[[#This Row],[Q2:   Are you interested in digital assets such as cryptocurrencies?  ]]="No",2,""))</f>
        <v>1</v>
      </c>
      <c r="W115" s="5"/>
      <c r="X11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5" s="5"/>
      <c r="Z115" s="4" t="s">
        <v>308</v>
      </c>
      <c r="AA115" s="4" t="s">
        <v>35</v>
      </c>
      <c r="AB115"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15" s="4" t="s">
        <v>68</v>
      </c>
      <c r="AD115"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3</v>
      </c>
      <c r="AE115" s="4" t="s">
        <v>309</v>
      </c>
      <c r="AF115" s="5"/>
      <c r="AG115" s="5"/>
      <c r="AH115"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15" s="5"/>
      <c r="AJ115" s="5"/>
      <c r="AK11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5" s="5"/>
      <c r="AM115" s="5"/>
      <c r="AN115" s="5"/>
      <c r="AO115"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5" s="5"/>
      <c r="AQ115"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5" s="5"/>
      <c r="AS115" s="5"/>
      <c r="AT115"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5" s="5"/>
      <c r="AV115"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5" s="5"/>
      <c r="AX115" s="5"/>
    </row>
    <row r="116" spans="1:50" ht="22.5" customHeight="1" x14ac:dyDescent="0.2">
      <c r="A116" s="3">
        <v>46052.880993194442</v>
      </c>
      <c r="B116" s="4" t="s">
        <v>31</v>
      </c>
      <c r="C11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6" s="4" t="s">
        <v>32</v>
      </c>
      <c r="E116" s="5">
        <f>IF(Form_Responses[[#This Row],[Q1: What is your gender?]]="Male",1, IF(Form_Responses[[#This Row],[Q1: What is your gender?]]="Female",2,IF(Form_Responses[[#This Row],[Q1: What is your gender?]]="Prefer not to say", 3,"")))</f>
        <v>1</v>
      </c>
      <c r="F116" s="4" t="s">
        <v>33</v>
      </c>
      <c r="G116" s="5">
        <f>IF(Form_Responses[[#This Row],[Q2:  What is your nationality?  ]]="Bhutanese (living in Bhutan)",1, IF(Form_Responses[[#This Row],[Q2:  What is your nationality?  ]]="Bhutanese (living outside Bhutan)",2, IF(Form_Responses[[#This Row],[Q2:  What is your nationality?  ]]="International resident",3, "")))</f>
        <v>1</v>
      </c>
      <c r="H116" s="4" t="s">
        <v>56</v>
      </c>
      <c r="I11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6" s="4" t="s">
        <v>35</v>
      </c>
      <c r="K116" s="5">
        <f>IF(Form_Responses[[#This Row],[Q1.  Would you ever consider investing in gold?]]="Yes",1, IF(Form_Responses[[#This Row],[Q1.  Would you ever consider investing in gold?]]="No",2, IF(Form_Responses[[#This Row],[Q1.  Would you ever consider investing in gold?]]="Maybe",3, "")))</f>
        <v>1</v>
      </c>
      <c r="L116" s="4" t="s">
        <v>36</v>
      </c>
      <c r="M116"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6" s="5"/>
      <c r="O116" s="5"/>
      <c r="P116" s="4" t="s">
        <v>159</v>
      </c>
      <c r="Q116" s="4" t="s">
        <v>38</v>
      </c>
      <c r="R11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16" s="5"/>
      <c r="T11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16" s="5"/>
      <c r="V116" s="5" t="str">
        <f>IF(Form_Responses[[#This Row],[Q2:   Are you interested in digital assets such as cryptocurrencies?  ]]="Yes",1, IF(Form_Responses[[#This Row],[Q2:   Are you interested in digital assets such as cryptocurrencies?  ]]="No",2,""))</f>
        <v/>
      </c>
      <c r="W116" s="5"/>
      <c r="X11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6" s="5"/>
      <c r="Z116" s="5"/>
      <c r="AA116" s="5"/>
      <c r="AB11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16" s="5"/>
      <c r="AD11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16" s="5"/>
      <c r="AF116" s="5"/>
      <c r="AG116" s="4" t="s">
        <v>39</v>
      </c>
      <c r="AH11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16" s="4">
        <v>4</v>
      </c>
      <c r="AJ116" s="4" t="s">
        <v>54</v>
      </c>
      <c r="AK11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5</v>
      </c>
      <c r="AL116" s="4" t="s">
        <v>159</v>
      </c>
      <c r="AM116" s="5"/>
      <c r="AN116" s="5"/>
      <c r="AO11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6" s="5"/>
      <c r="AQ11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6" s="5"/>
      <c r="AS116" s="5"/>
      <c r="AT11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6" s="5"/>
      <c r="AV11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6" s="5"/>
      <c r="AX116" s="5"/>
    </row>
    <row r="117" spans="1:50" ht="22.5" customHeight="1" x14ac:dyDescent="0.2">
      <c r="A117" s="3">
        <v>46052.959247013889</v>
      </c>
      <c r="B117" s="4" t="s">
        <v>31</v>
      </c>
      <c r="C117"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7" s="4" t="s">
        <v>63</v>
      </c>
      <c r="E117" s="5">
        <f>IF(Form_Responses[[#This Row],[Q1: What is your gender?]]="Male",1, IF(Form_Responses[[#This Row],[Q1: What is your gender?]]="Female",2,IF(Form_Responses[[#This Row],[Q1: What is your gender?]]="Prefer not to say", 3,"")))</f>
        <v>2</v>
      </c>
      <c r="F117" s="4" t="s">
        <v>33</v>
      </c>
      <c r="G117" s="5">
        <f>IF(Form_Responses[[#This Row],[Q2:  What is your nationality?  ]]="Bhutanese (living in Bhutan)",1, IF(Form_Responses[[#This Row],[Q2:  What is your nationality?  ]]="Bhutanese (living outside Bhutan)",2, IF(Form_Responses[[#This Row],[Q2:  What is your nationality?  ]]="International resident",3, "")))</f>
        <v>1</v>
      </c>
      <c r="H117" s="4" t="s">
        <v>56</v>
      </c>
      <c r="I117"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7" s="4" t="s">
        <v>35</v>
      </c>
      <c r="K117" s="5">
        <f>IF(Form_Responses[[#This Row],[Q1.  Would you ever consider investing in gold?]]="Yes",1, IF(Form_Responses[[#This Row],[Q1.  Would you ever consider investing in gold?]]="No",2, IF(Form_Responses[[#This Row],[Q1.  Would you ever consider investing in gold?]]="Maybe",3, "")))</f>
        <v>1</v>
      </c>
      <c r="L117" s="4" t="s">
        <v>36</v>
      </c>
      <c r="M117"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7" s="5"/>
      <c r="O117" s="5"/>
      <c r="P117" s="4" t="s">
        <v>296</v>
      </c>
      <c r="Q117" s="4" t="s">
        <v>38</v>
      </c>
      <c r="R117"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17" s="5"/>
      <c r="T117"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17" s="5"/>
      <c r="V117" s="5" t="str">
        <f>IF(Form_Responses[[#This Row],[Q2:   Are you interested in digital assets such as cryptocurrencies?  ]]="Yes",1, IF(Form_Responses[[#This Row],[Q2:   Are you interested in digital assets such as cryptocurrencies?  ]]="No",2,""))</f>
        <v/>
      </c>
      <c r="W117" s="5"/>
      <c r="X117"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7" s="5"/>
      <c r="Z117" s="5"/>
      <c r="AA117" s="5"/>
      <c r="AB117"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17" s="5"/>
      <c r="AD117"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17" s="5"/>
      <c r="AF117" s="5"/>
      <c r="AG117" s="4" t="s">
        <v>39</v>
      </c>
      <c r="AH117"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17" s="4">
        <v>4</v>
      </c>
      <c r="AJ117" s="4" t="s">
        <v>58</v>
      </c>
      <c r="AK117"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117" s="4" t="s">
        <v>310</v>
      </c>
      <c r="AM117" s="5"/>
      <c r="AN117" s="5"/>
      <c r="AO117"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17" s="5"/>
      <c r="AQ117"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17" s="5"/>
      <c r="AS117" s="5"/>
      <c r="AT117"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17" s="5"/>
      <c r="AV117"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7" s="5"/>
      <c r="AX117" s="5"/>
    </row>
    <row r="118" spans="1:50" ht="22.5" customHeight="1" x14ac:dyDescent="0.2">
      <c r="A118" s="3">
        <v>46052.962884328706</v>
      </c>
      <c r="B118" s="4" t="s">
        <v>31</v>
      </c>
      <c r="C118"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8" s="4" t="s">
        <v>32</v>
      </c>
      <c r="E118" s="5">
        <f>IF(Form_Responses[[#This Row],[Q1: What is your gender?]]="Male",1, IF(Form_Responses[[#This Row],[Q1: What is your gender?]]="Female",2,IF(Form_Responses[[#This Row],[Q1: What is your gender?]]="Prefer not to say", 3,"")))</f>
        <v>1</v>
      </c>
      <c r="F118" s="4" t="s">
        <v>33</v>
      </c>
      <c r="G118" s="5">
        <f>IF(Form_Responses[[#This Row],[Q2:  What is your nationality?  ]]="Bhutanese (living in Bhutan)",1, IF(Form_Responses[[#This Row],[Q2:  What is your nationality?  ]]="Bhutanese (living outside Bhutan)",2, IF(Form_Responses[[#This Row],[Q2:  What is your nationality?  ]]="International resident",3, "")))</f>
        <v>1</v>
      </c>
      <c r="H118" s="4">
        <v>12</v>
      </c>
      <c r="I118"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18" s="4" t="s">
        <v>35</v>
      </c>
      <c r="K118" s="5">
        <f>IF(Form_Responses[[#This Row],[Q1.  Would you ever consider investing in gold?]]="Yes",1, IF(Form_Responses[[#This Row],[Q1.  Would you ever consider investing in gold?]]="No",2, IF(Form_Responses[[#This Row],[Q1.  Would you ever consider investing in gold?]]="Maybe",3, "")))</f>
        <v>1</v>
      </c>
      <c r="L118" s="4" t="s">
        <v>35</v>
      </c>
      <c r="M118"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18" s="4" t="s">
        <v>311</v>
      </c>
      <c r="O118" s="4">
        <v>1</v>
      </c>
      <c r="P118" s="5"/>
      <c r="Q118" s="4" t="s">
        <v>84</v>
      </c>
      <c r="R118"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118" s="5"/>
      <c r="T118"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18" s="5"/>
      <c r="V118" s="5" t="str">
        <f>IF(Form_Responses[[#This Row],[Q2:   Are you interested in digital assets such as cryptocurrencies?  ]]="Yes",1, IF(Form_Responses[[#This Row],[Q2:   Are you interested in digital assets such as cryptocurrencies?  ]]="No",2,""))</f>
        <v/>
      </c>
      <c r="W118" s="5"/>
      <c r="X118"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8" s="5"/>
      <c r="Z118" s="5"/>
      <c r="AA118" s="5"/>
      <c r="AB118"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18" s="5"/>
      <c r="AD118"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18" s="5"/>
      <c r="AF118" s="5"/>
      <c r="AG118" s="4" t="s">
        <v>43</v>
      </c>
      <c r="AH118"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118" s="5"/>
      <c r="AJ118" s="5"/>
      <c r="AK118"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8" s="5"/>
      <c r="AM118" s="4">
        <v>5</v>
      </c>
      <c r="AN118" s="4" t="s">
        <v>105</v>
      </c>
      <c r="AO118"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118" s="4" t="s">
        <v>98</v>
      </c>
      <c r="AQ118"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3</v>
      </c>
      <c r="AR118" s="4">
        <v>5</v>
      </c>
      <c r="AS118" s="4" t="s">
        <v>87</v>
      </c>
      <c r="AT118"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118" s="4" t="s">
        <v>312</v>
      </c>
      <c r="AV118"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18" s="4">
        <v>5</v>
      </c>
      <c r="AX118" s="4" t="s">
        <v>313</v>
      </c>
    </row>
    <row r="119" spans="1:50" ht="22.5" customHeight="1" x14ac:dyDescent="0.2">
      <c r="A119" s="3">
        <v>46053.352771828708</v>
      </c>
      <c r="B119" s="4" t="s">
        <v>31</v>
      </c>
      <c r="C119"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19" s="4" t="s">
        <v>32</v>
      </c>
      <c r="E119" s="5">
        <f>IF(Form_Responses[[#This Row],[Q1: What is your gender?]]="Male",1, IF(Form_Responses[[#This Row],[Q1: What is your gender?]]="Female",2,IF(Form_Responses[[#This Row],[Q1: What is your gender?]]="Prefer not to say", 3,"")))</f>
        <v>1</v>
      </c>
      <c r="F119" s="4" t="s">
        <v>33</v>
      </c>
      <c r="G119" s="5">
        <f>IF(Form_Responses[[#This Row],[Q2:  What is your nationality?  ]]="Bhutanese (living in Bhutan)",1, IF(Form_Responses[[#This Row],[Q2:  What is your nationality?  ]]="Bhutanese (living outside Bhutan)",2, IF(Form_Responses[[#This Row],[Q2:  What is your nationality?  ]]="International resident",3, "")))</f>
        <v>1</v>
      </c>
      <c r="H119" s="4" t="s">
        <v>34</v>
      </c>
      <c r="I119"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19" s="4" t="s">
        <v>35</v>
      </c>
      <c r="K119" s="5">
        <f>IF(Form_Responses[[#This Row],[Q1.  Would you ever consider investing in gold?]]="Yes",1, IF(Form_Responses[[#This Row],[Q1.  Would you ever consider investing in gold?]]="No",2, IF(Form_Responses[[#This Row],[Q1.  Would you ever consider investing in gold?]]="Maybe",3, "")))</f>
        <v>1</v>
      </c>
      <c r="L119" s="4" t="s">
        <v>36</v>
      </c>
      <c r="M119"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19" s="5"/>
      <c r="O119" s="5"/>
      <c r="P119" s="4" t="s">
        <v>314</v>
      </c>
      <c r="Q119" s="4" t="s">
        <v>84</v>
      </c>
      <c r="R119"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119" s="5"/>
      <c r="T119"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19" s="5"/>
      <c r="V119" s="5" t="str">
        <f>IF(Form_Responses[[#This Row],[Q2:   Are you interested in digital assets such as cryptocurrencies?  ]]="Yes",1, IF(Form_Responses[[#This Row],[Q2:   Are you interested in digital assets such as cryptocurrencies?  ]]="No",2,""))</f>
        <v/>
      </c>
      <c r="W119" s="5"/>
      <c r="X119"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19" s="5"/>
      <c r="Z119" s="5"/>
      <c r="AA119" s="5"/>
      <c r="AB119"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19" s="5"/>
      <c r="AD119"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19" s="5"/>
      <c r="AF119" s="5"/>
      <c r="AG119" s="4" t="s">
        <v>43</v>
      </c>
      <c r="AH119"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119" s="5"/>
      <c r="AJ119" s="5"/>
      <c r="AK119"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19" s="5"/>
      <c r="AM119" s="4">
        <v>5</v>
      </c>
      <c r="AN119" s="4" t="s">
        <v>105</v>
      </c>
      <c r="AO119"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5</v>
      </c>
      <c r="AP119" s="4" t="s">
        <v>168</v>
      </c>
      <c r="AQ119"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11</v>
      </c>
      <c r="AR119" s="4">
        <v>3</v>
      </c>
      <c r="AS119" s="4" t="s">
        <v>87</v>
      </c>
      <c r="AT119"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119" s="4" t="s">
        <v>68</v>
      </c>
      <c r="AV119"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3</v>
      </c>
      <c r="AW119" s="4">
        <v>5</v>
      </c>
      <c r="AX119" s="4" t="s">
        <v>315</v>
      </c>
    </row>
    <row r="120" spans="1:50" ht="22.5" customHeight="1" x14ac:dyDescent="0.2">
      <c r="A120" s="3">
        <v>46053.406291006948</v>
      </c>
      <c r="B120" s="4" t="s">
        <v>102</v>
      </c>
      <c r="C120"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120" s="4" t="s">
        <v>32</v>
      </c>
      <c r="E120" s="5">
        <f>IF(Form_Responses[[#This Row],[Q1: What is your gender?]]="Male",1, IF(Form_Responses[[#This Row],[Q1: What is your gender?]]="Female",2,IF(Form_Responses[[#This Row],[Q1: What is your gender?]]="Prefer not to say", 3,"")))</f>
        <v>1</v>
      </c>
      <c r="F120" s="4" t="s">
        <v>33</v>
      </c>
      <c r="G120" s="5">
        <f>IF(Form_Responses[[#This Row],[Q2:  What is your nationality?  ]]="Bhutanese (living in Bhutan)",1, IF(Form_Responses[[#This Row],[Q2:  What is your nationality?  ]]="Bhutanese (living outside Bhutan)",2, IF(Form_Responses[[#This Row],[Q2:  What is your nationality?  ]]="International resident",3, "")))</f>
        <v>1</v>
      </c>
      <c r="H120" s="4" t="s">
        <v>52</v>
      </c>
      <c r="I120"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2</v>
      </c>
      <c r="J120" s="4" t="s">
        <v>35</v>
      </c>
      <c r="K120" s="5">
        <f>IF(Form_Responses[[#This Row],[Q1.  Would you ever consider investing in gold?]]="Yes",1, IF(Form_Responses[[#This Row],[Q1.  Would you ever consider investing in gold?]]="No",2, IF(Form_Responses[[#This Row],[Q1.  Would you ever consider investing in gold?]]="Maybe",3, "")))</f>
        <v>1</v>
      </c>
      <c r="L120" s="4" t="s">
        <v>36</v>
      </c>
      <c r="M120"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20" s="5"/>
      <c r="O120" s="5"/>
      <c r="P120" s="4" t="s">
        <v>316</v>
      </c>
      <c r="Q120" s="4" t="s">
        <v>38</v>
      </c>
      <c r="R120"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20" s="5"/>
      <c r="T120"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20" s="5"/>
      <c r="V120" s="5" t="str">
        <f>IF(Form_Responses[[#This Row],[Q2:   Are you interested in digital assets such as cryptocurrencies?  ]]="Yes",1, IF(Form_Responses[[#This Row],[Q2:   Are you interested in digital assets such as cryptocurrencies?  ]]="No",2,""))</f>
        <v/>
      </c>
      <c r="W120" s="5"/>
      <c r="X120"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0" s="5"/>
      <c r="Z120" s="5"/>
      <c r="AA120" s="5"/>
      <c r="AB120"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20" s="5"/>
      <c r="AD120"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20" s="5"/>
      <c r="AF120" s="5"/>
      <c r="AG120" s="4" t="s">
        <v>39</v>
      </c>
      <c r="AH120"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20" s="4">
        <v>3</v>
      </c>
      <c r="AJ120" s="4" t="s">
        <v>58</v>
      </c>
      <c r="AK120"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120" s="4" t="s">
        <v>317</v>
      </c>
      <c r="AM120" s="5"/>
      <c r="AN120" s="5"/>
      <c r="AO120"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0" s="5"/>
      <c r="AQ120"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0" s="5"/>
      <c r="AS120" s="5"/>
      <c r="AT120"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0" s="5"/>
      <c r="AV120"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0" s="5"/>
      <c r="AX120" s="5"/>
    </row>
    <row r="121" spans="1:50" ht="22.5" customHeight="1" x14ac:dyDescent="0.2">
      <c r="A121" s="3">
        <v>46053.459814062502</v>
      </c>
      <c r="B121" s="4" t="s">
        <v>31</v>
      </c>
      <c r="C121"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21" s="4" t="s">
        <v>63</v>
      </c>
      <c r="E121" s="5">
        <f>IF(Form_Responses[[#This Row],[Q1: What is your gender?]]="Male",1, IF(Form_Responses[[#This Row],[Q1: What is your gender?]]="Female",2,IF(Form_Responses[[#This Row],[Q1: What is your gender?]]="Prefer not to say", 3,"")))</f>
        <v>2</v>
      </c>
      <c r="F121" s="4" t="s">
        <v>33</v>
      </c>
      <c r="G121" s="5">
        <f>IF(Form_Responses[[#This Row],[Q2:  What is your nationality?  ]]="Bhutanese (living in Bhutan)",1, IF(Form_Responses[[#This Row],[Q2:  What is your nationality?  ]]="Bhutanese (living outside Bhutan)",2, IF(Form_Responses[[#This Row],[Q2:  What is your nationality?  ]]="International resident",3, "")))</f>
        <v>1</v>
      </c>
      <c r="H121" s="4" t="s">
        <v>34</v>
      </c>
      <c r="I121"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21" s="4" t="s">
        <v>60</v>
      </c>
      <c r="K121" s="5">
        <f>IF(Form_Responses[[#This Row],[Q1.  Would you ever consider investing in gold?]]="Yes",1, IF(Form_Responses[[#This Row],[Q1.  Would you ever consider investing in gold?]]="No",2, IF(Form_Responses[[#This Row],[Q1.  Would you ever consider investing in gold?]]="Maybe",3, "")))</f>
        <v>3</v>
      </c>
      <c r="L121" s="4" t="s">
        <v>36</v>
      </c>
      <c r="M121"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21" s="5"/>
      <c r="O121" s="5"/>
      <c r="P121" s="4" t="s">
        <v>318</v>
      </c>
      <c r="Q121" s="4" t="s">
        <v>38</v>
      </c>
      <c r="R121"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21" s="5"/>
      <c r="T121"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21" s="5"/>
      <c r="V121" s="5" t="str">
        <f>IF(Form_Responses[[#This Row],[Q2:   Are you interested in digital assets such as cryptocurrencies?  ]]="Yes",1, IF(Form_Responses[[#This Row],[Q2:   Are you interested in digital assets such as cryptocurrencies?  ]]="No",2,""))</f>
        <v/>
      </c>
      <c r="W121" s="5"/>
      <c r="X121"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1" s="5"/>
      <c r="Z121" s="5"/>
      <c r="AA121" s="5"/>
      <c r="AB121"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21" s="5"/>
      <c r="AD121"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21" s="5"/>
      <c r="AF121" s="5"/>
      <c r="AG121" s="4" t="s">
        <v>39</v>
      </c>
      <c r="AH121"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2</v>
      </c>
      <c r="AI121" s="4">
        <v>3</v>
      </c>
      <c r="AJ121" s="4" t="s">
        <v>58</v>
      </c>
      <c r="AK121"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121" s="4" t="s">
        <v>319</v>
      </c>
      <c r="AM121" s="5"/>
      <c r="AN121" s="5"/>
      <c r="AO121"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1" s="5"/>
      <c r="AQ121"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1" s="5"/>
      <c r="AS121" s="5"/>
      <c r="AT121"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1" s="5"/>
      <c r="AV121"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1" s="5"/>
      <c r="AX121" s="5"/>
    </row>
    <row r="122" spans="1:50" ht="22.5" customHeight="1" x14ac:dyDescent="0.2">
      <c r="A122" s="3">
        <v>46053.72813909722</v>
      </c>
      <c r="B122" s="4" t="s">
        <v>31</v>
      </c>
      <c r="C122"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22" s="4" t="s">
        <v>63</v>
      </c>
      <c r="E122" s="5">
        <f>IF(Form_Responses[[#This Row],[Q1: What is your gender?]]="Male",1, IF(Form_Responses[[#This Row],[Q1: What is your gender?]]="Female",2,IF(Form_Responses[[#This Row],[Q1: What is your gender?]]="Prefer not to say", 3,"")))</f>
        <v>2</v>
      </c>
      <c r="F122" s="4" t="s">
        <v>33</v>
      </c>
      <c r="G122" s="5">
        <f>IF(Form_Responses[[#This Row],[Q2:  What is your nationality?  ]]="Bhutanese (living in Bhutan)",1, IF(Form_Responses[[#This Row],[Q2:  What is your nationality?  ]]="Bhutanese (living outside Bhutan)",2, IF(Form_Responses[[#This Row],[Q2:  What is your nationality?  ]]="International resident",3, "")))</f>
        <v>1</v>
      </c>
      <c r="H122" s="4" t="s">
        <v>34</v>
      </c>
      <c r="I122"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3</v>
      </c>
      <c r="J122" s="4" t="s">
        <v>60</v>
      </c>
      <c r="K122" s="5">
        <f>IF(Form_Responses[[#This Row],[Q1.  Would you ever consider investing in gold?]]="Yes",1, IF(Form_Responses[[#This Row],[Q1.  Would you ever consider investing in gold?]]="No",2, IF(Form_Responses[[#This Row],[Q1.  Would you ever consider investing in gold?]]="Maybe",3, "")))</f>
        <v>3</v>
      </c>
      <c r="L122" s="4" t="s">
        <v>36</v>
      </c>
      <c r="M122"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22" s="5"/>
      <c r="O122" s="5"/>
      <c r="P122" s="4" t="s">
        <v>320</v>
      </c>
      <c r="Q122" s="4" t="s">
        <v>80</v>
      </c>
      <c r="R122"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22" s="4" t="s">
        <v>60</v>
      </c>
      <c r="T122"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22" s="4" t="s">
        <v>36</v>
      </c>
      <c r="V122" s="5">
        <f>IF(Form_Responses[[#This Row],[Q2:   Are you interested in digital assets such as cryptocurrencies?  ]]="Yes",1, IF(Form_Responses[[#This Row],[Q2:   Are you interested in digital assets such as cryptocurrencies?  ]]="No",2,""))</f>
        <v>2</v>
      </c>
      <c r="W122" s="4" t="s">
        <v>269</v>
      </c>
      <c r="X122" s="5">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2</v>
      </c>
      <c r="Y122" s="4" t="s">
        <v>321</v>
      </c>
      <c r="Z122" s="5"/>
      <c r="AA122" s="5"/>
      <c r="AB122"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22" s="5"/>
      <c r="AD122"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22" s="5"/>
      <c r="AF122" s="5"/>
      <c r="AG122" s="5"/>
      <c r="AH122"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22" s="5"/>
      <c r="AJ122" s="5"/>
      <c r="AK122"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22" s="5"/>
      <c r="AM122" s="5"/>
      <c r="AN122" s="5"/>
      <c r="AO122"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2" s="5"/>
      <c r="AQ122"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2" s="5"/>
      <c r="AS122" s="5"/>
      <c r="AT122"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2" s="5"/>
      <c r="AV122"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2" s="5"/>
      <c r="AX122" s="5"/>
    </row>
    <row r="123" spans="1:50" ht="22.5" customHeight="1" x14ac:dyDescent="0.2">
      <c r="A123" s="3">
        <v>46053.8320699537</v>
      </c>
      <c r="B123" s="4" t="s">
        <v>31</v>
      </c>
      <c r="C123"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23" s="4" t="s">
        <v>63</v>
      </c>
      <c r="E123" s="5">
        <f>IF(Form_Responses[[#This Row],[Q1: What is your gender?]]="Male",1, IF(Form_Responses[[#This Row],[Q1: What is your gender?]]="Female",2,IF(Form_Responses[[#This Row],[Q1: What is your gender?]]="Prefer not to say", 3,"")))</f>
        <v>2</v>
      </c>
      <c r="F123" s="4" t="s">
        <v>33</v>
      </c>
      <c r="G123" s="5">
        <f>IF(Form_Responses[[#This Row],[Q2:  What is your nationality?  ]]="Bhutanese (living in Bhutan)",1, IF(Form_Responses[[#This Row],[Q2:  What is your nationality?  ]]="Bhutanese (living outside Bhutan)",2, IF(Form_Responses[[#This Row],[Q2:  What is your nationality?  ]]="International resident",3, "")))</f>
        <v>1</v>
      </c>
      <c r="H123" s="4" t="s">
        <v>56</v>
      </c>
      <c r="I123"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23" s="4" t="s">
        <v>60</v>
      </c>
      <c r="K123" s="5">
        <f>IF(Form_Responses[[#This Row],[Q1.  Would you ever consider investing in gold?]]="Yes",1, IF(Form_Responses[[#This Row],[Q1.  Would you ever consider investing in gold?]]="No",2, IF(Form_Responses[[#This Row],[Q1.  Would you ever consider investing in gold?]]="Maybe",3, "")))</f>
        <v>3</v>
      </c>
      <c r="L123" s="4" t="s">
        <v>36</v>
      </c>
      <c r="M123" s="5">
        <f>IF(Form_Responses[[#This Row],[Q2. Do you currently invest in any financial assets (for example: gold, stocks, bank deposits, cryptocurrency)?   ]]="No",2, IF(Form_Responses[[#This Row],[Q2. Do you currently invest in any financial assets (for example: gold, stocks, bank deposits, cryptocurrency)?   ]]="Yes",1, ""))</f>
        <v>2</v>
      </c>
      <c r="N123" s="5"/>
      <c r="O123" s="5"/>
      <c r="P123" s="4" t="s">
        <v>322</v>
      </c>
      <c r="Q123" s="4" t="s">
        <v>80</v>
      </c>
      <c r="R123"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23" s="4" t="s">
        <v>60</v>
      </c>
      <c r="T123"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3</v>
      </c>
      <c r="U123" s="4" t="s">
        <v>35</v>
      </c>
      <c r="V123" s="5">
        <f>IF(Form_Responses[[#This Row],[Q2:   Are you interested in digital assets such as cryptocurrencies?  ]]="Yes",1, IF(Form_Responses[[#This Row],[Q2:   Are you interested in digital assets such as cryptocurrencies?  ]]="No",2,""))</f>
        <v>1</v>
      </c>
      <c r="W123" s="5"/>
      <c r="X123"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3" s="5"/>
      <c r="Z123" s="4" t="s">
        <v>323</v>
      </c>
      <c r="AA123" s="4" t="s">
        <v>60</v>
      </c>
      <c r="AB123"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3</v>
      </c>
      <c r="AC123" s="4" t="s">
        <v>324</v>
      </c>
      <c r="AD123"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7</v>
      </c>
      <c r="AE123" s="4" t="s">
        <v>325</v>
      </c>
      <c r="AF123" s="5"/>
      <c r="AG123" s="5"/>
      <c r="AH123"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23" s="5"/>
      <c r="AJ123" s="5"/>
      <c r="AK123"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23" s="5"/>
      <c r="AM123" s="5"/>
      <c r="AN123" s="5"/>
      <c r="AO123"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3" s="5"/>
      <c r="AQ123"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3" s="5"/>
      <c r="AS123" s="5"/>
      <c r="AT123"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3" s="5"/>
      <c r="AV123"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3" s="5"/>
      <c r="AX123" s="5"/>
    </row>
    <row r="124" spans="1:50" ht="22.5" customHeight="1" x14ac:dyDescent="0.2">
      <c r="A124" s="3">
        <v>46054.357232025461</v>
      </c>
      <c r="B124" s="4" t="s">
        <v>31</v>
      </c>
      <c r="C124"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24" s="4" t="s">
        <v>63</v>
      </c>
      <c r="E124" s="5">
        <f>IF(Form_Responses[[#This Row],[Q1: What is your gender?]]="Male",1, IF(Form_Responses[[#This Row],[Q1: What is your gender?]]="Female",2,IF(Form_Responses[[#This Row],[Q1: What is your gender?]]="Prefer not to say", 3,"")))</f>
        <v>2</v>
      </c>
      <c r="F124" s="4" t="s">
        <v>185</v>
      </c>
      <c r="G124" s="5">
        <f>IF(Form_Responses[[#This Row],[Q2:  What is your nationality?  ]]="Bhutanese (living in Bhutan)",1, IF(Form_Responses[[#This Row],[Q2:  What is your nationality?  ]]="Bhutanese (living outside Bhutan)",2, IF(Form_Responses[[#This Row],[Q2:  What is your nationality?  ]]="International resident",3, "")))</f>
        <v>2</v>
      </c>
      <c r="H124" s="4" t="s">
        <v>56</v>
      </c>
      <c r="I124"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24" s="4" t="s">
        <v>60</v>
      </c>
      <c r="K124" s="5">
        <f>IF(Form_Responses[[#This Row],[Q1.  Would you ever consider investing in gold?]]="Yes",1, IF(Form_Responses[[#This Row],[Q1.  Would you ever consider investing in gold?]]="No",2, IF(Form_Responses[[#This Row],[Q1.  Would you ever consider investing in gold?]]="Maybe",3, "")))</f>
        <v>3</v>
      </c>
      <c r="L124" s="4" t="s">
        <v>35</v>
      </c>
      <c r="M124"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24" s="4" t="s">
        <v>326</v>
      </c>
      <c r="O124" s="4">
        <v>5</v>
      </c>
      <c r="P124" s="5"/>
      <c r="Q124" s="4" t="s">
        <v>80</v>
      </c>
      <c r="R124"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2</v>
      </c>
      <c r="S124" s="4" t="s">
        <v>35</v>
      </c>
      <c r="T124" s="5">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1</v>
      </c>
      <c r="U124" s="4" t="s">
        <v>35</v>
      </c>
      <c r="V124" s="5">
        <f>IF(Form_Responses[[#This Row],[Q2:   Are you interested in digital assets such as cryptocurrencies?  ]]="Yes",1, IF(Form_Responses[[#This Row],[Q2:   Are you interested in digital assets such as cryptocurrencies?  ]]="No",2,""))</f>
        <v>1</v>
      </c>
      <c r="W124" s="5"/>
      <c r="X124"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4" s="5"/>
      <c r="Z124" s="4" t="s">
        <v>327</v>
      </c>
      <c r="AA124" s="4" t="s">
        <v>35</v>
      </c>
      <c r="AB124" s="5">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1</v>
      </c>
      <c r="AC124" s="4" t="s">
        <v>279</v>
      </c>
      <c r="AD124" s="5">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2</v>
      </c>
      <c r="AE124" s="4" t="s">
        <v>328</v>
      </c>
      <c r="AF124" s="5"/>
      <c r="AG124" s="5"/>
      <c r="AH124" s="5" t="str">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
      </c>
      <c r="AI124" s="5"/>
      <c r="AJ124" s="5"/>
      <c r="AK124"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24" s="5"/>
      <c r="AM124" s="5"/>
      <c r="AN124" s="5"/>
      <c r="AO124"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4" s="5"/>
      <c r="AQ124"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4" s="5"/>
      <c r="AS124" s="5"/>
      <c r="AT124"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4" s="5"/>
      <c r="AV124"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4" s="5"/>
      <c r="AX124" s="5"/>
    </row>
    <row r="125" spans="1:50" ht="22.5" customHeight="1" x14ac:dyDescent="0.2">
      <c r="A125" s="3">
        <v>46054.485709965273</v>
      </c>
      <c r="B125" s="4" t="s">
        <v>31</v>
      </c>
      <c r="C125"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2</v>
      </c>
      <c r="D125" s="4" t="s">
        <v>32</v>
      </c>
      <c r="E125" s="5">
        <f>IF(Form_Responses[[#This Row],[Q1: What is your gender?]]="Male",1, IF(Form_Responses[[#This Row],[Q1: What is your gender?]]="Female",2,IF(Form_Responses[[#This Row],[Q1: What is your gender?]]="Prefer not to say", 3,"")))</f>
        <v>1</v>
      </c>
      <c r="F125" s="4" t="s">
        <v>33</v>
      </c>
      <c r="G125" s="5">
        <f>IF(Form_Responses[[#This Row],[Q2:  What is your nationality?  ]]="Bhutanese (living in Bhutan)",1, IF(Form_Responses[[#This Row],[Q2:  What is your nationality?  ]]="Bhutanese (living outside Bhutan)",2, IF(Form_Responses[[#This Row],[Q2:  What is your nationality?  ]]="International resident",3, "")))</f>
        <v>1</v>
      </c>
      <c r="H125" s="4" t="s">
        <v>56</v>
      </c>
      <c r="I125"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1</v>
      </c>
      <c r="J125" s="4" t="s">
        <v>35</v>
      </c>
      <c r="K125" s="5">
        <f>IF(Form_Responses[[#This Row],[Q1.  Would you ever consider investing in gold?]]="Yes",1, IF(Form_Responses[[#This Row],[Q1.  Would you ever consider investing in gold?]]="No",2, IF(Form_Responses[[#This Row],[Q1.  Would you ever consider investing in gold?]]="Maybe",3, "")))</f>
        <v>1</v>
      </c>
      <c r="L125" s="4" t="s">
        <v>35</v>
      </c>
      <c r="M125"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25" s="4" t="s">
        <v>53</v>
      </c>
      <c r="O125" s="4">
        <v>3</v>
      </c>
      <c r="P125" s="5"/>
      <c r="Q125" s="4" t="s">
        <v>84</v>
      </c>
      <c r="R125"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4</v>
      </c>
      <c r="S125" s="5"/>
      <c r="T125"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25" s="5"/>
      <c r="V125" s="5" t="str">
        <f>IF(Form_Responses[[#This Row],[Q2:   Are you interested in digital assets such as cryptocurrencies?  ]]="Yes",1, IF(Form_Responses[[#This Row],[Q2:   Are you interested in digital assets such as cryptocurrencies?  ]]="No",2,""))</f>
        <v/>
      </c>
      <c r="W125" s="5"/>
      <c r="X125"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5" s="5"/>
      <c r="Z125" s="5"/>
      <c r="AA125" s="5"/>
      <c r="AB125"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25" s="5"/>
      <c r="AD125"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25" s="5"/>
      <c r="AF125" s="5"/>
      <c r="AG125" s="4" t="s">
        <v>43</v>
      </c>
      <c r="AH125"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3</v>
      </c>
      <c r="AI125" s="5"/>
      <c r="AJ125" s="5"/>
      <c r="AK125" s="5" t="str">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
      </c>
      <c r="AL125" s="5"/>
      <c r="AM125" s="4">
        <v>5</v>
      </c>
      <c r="AN125" s="4" t="s">
        <v>329</v>
      </c>
      <c r="AO125" s="5">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20</v>
      </c>
      <c r="AP125" s="4" t="s">
        <v>130</v>
      </c>
      <c r="AQ125" s="5">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1</v>
      </c>
      <c r="AR125" s="4">
        <v>5</v>
      </c>
      <c r="AS125" s="4" t="s">
        <v>87</v>
      </c>
      <c r="AT125" s="5">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1</v>
      </c>
      <c r="AU125" s="4" t="s">
        <v>47</v>
      </c>
      <c r="AV125" s="5">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5</v>
      </c>
      <c r="AW125" s="4">
        <v>4</v>
      </c>
      <c r="AX125" s="4" t="s">
        <v>330</v>
      </c>
    </row>
    <row r="126" spans="1:50" ht="22.5" customHeight="1" x14ac:dyDescent="0.2">
      <c r="A126" s="3">
        <v>46054.576650000003</v>
      </c>
      <c r="B126" s="4" t="s">
        <v>102</v>
      </c>
      <c r="C126" s="5">
        <f>IF(Form_Responses[[#This Row],[Q1: What is your age group?]]="Under 18",1, IF(Form_Responses[[#This Row],[Q1: What is your age group?]]="18–28",2, IF(Form_Responses[[#This Row],[Q1: What is your age group?]]="29–39",3, IF(Form_Responses[[#This Row],[Q1: What is your age group?]]="40–50",4, IF(Form_Responses[[#This Row],[Q1: What is your age group?]]="51+",5,"")))))</f>
        <v>4</v>
      </c>
      <c r="D126" s="4" t="s">
        <v>32</v>
      </c>
      <c r="E126" s="5">
        <f>IF(Form_Responses[[#This Row],[Q1: What is your gender?]]="Male",1, IF(Form_Responses[[#This Row],[Q1: What is your gender?]]="Female",2,IF(Form_Responses[[#This Row],[Q1: What is your gender?]]="Prefer not to say", 3,"")))</f>
        <v>1</v>
      </c>
      <c r="F126" s="4" t="s">
        <v>331</v>
      </c>
      <c r="G126" s="5">
        <f>IF(Form_Responses[[#This Row],[Q2:  What is your nationality?  ]]="Bhutanese (living in Bhutan)",1, IF(Form_Responses[[#This Row],[Q2:  What is your nationality?  ]]="Bhutanese (living outside Bhutan)",2, IF(Form_Responses[[#This Row],[Q2:  What is your nationality?  ]]="International resident",3, "")))</f>
        <v>3</v>
      </c>
      <c r="H126" s="4" t="s">
        <v>195</v>
      </c>
      <c r="I126" s="5">
        <f>IF(Form_Responses[[#This Row],[Q3: What is your highest level of education?  ]]="High school or equivalent",1, IF(Form_Responses[[#This Row],[Q3: What is your highest level of education?  ]]="Diploma / Certificate",2,IF( Form_Responses[[#This Row],[Q3: What is your highest level of education?  ]]="Bachelor’s degree",3, IF(Form_Responses[[#This Row],[Q3: What is your highest level of education?  ]]="Master’s degree",4, IF(Form_Responses[[#This Row],[Q3: What is your highest level of education?  ]]="Doctorate / PhD",5,IF(Form_Responses[[#This Row],[Q3: What is your highest level of education?  ]]="Undergraduate ",3,IF(Form_Responses[[#This Row],[Q3: What is your highest level of education?  ]]=12,1,IF(Form_Responses[[#This Row],[Q3: What is your highest level of education?  ]]=" College Under graduate ",3,IF(Form_Responses[[#This Row],[Q3: What is your highest level of education?  ]]="Undergraduate",3, "")))))))))</f>
        <v>4</v>
      </c>
      <c r="J126" s="4" t="s">
        <v>35</v>
      </c>
      <c r="K126" s="5">
        <f>IF(Form_Responses[[#This Row],[Q1.  Would you ever consider investing in gold?]]="Yes",1, IF(Form_Responses[[#This Row],[Q1.  Would you ever consider investing in gold?]]="No",2, IF(Form_Responses[[#This Row],[Q1.  Would you ever consider investing in gold?]]="Maybe",3, "")))</f>
        <v>1</v>
      </c>
      <c r="L126" s="4" t="s">
        <v>35</v>
      </c>
      <c r="M126" s="5">
        <f>IF(Form_Responses[[#This Row],[Q2. Do you currently invest in any financial assets (for example: gold, stocks, bank deposits, cryptocurrency)?   ]]="No",2, IF(Form_Responses[[#This Row],[Q2. Do you currently invest in any financial assets (for example: gold, stocks, bank deposits, cryptocurrency)?   ]]="Yes",1, ""))</f>
        <v>1</v>
      </c>
      <c r="N126" s="4" t="s">
        <v>332</v>
      </c>
      <c r="O126" s="4">
        <v>5</v>
      </c>
      <c r="P126" s="5"/>
      <c r="Q126" s="4" t="s">
        <v>38</v>
      </c>
      <c r="R126" s="5">
        <f>IF(Form_Responses[[#This Row],[Q1. How aware are you of TER?]]="I don’t know about it at all",1, IF(Form_Responses[[#This Row],[Q1. How aware are you of TER?]]="I’ve heard the name but don’t know details",2, IF(Form_Responses[[#This Row],[Q1. How aware are you of TER?]]="I know a little about it",3, IF(Form_Responses[[#This Row],[Q1. How aware are you of TER?]]="I know a moderate amount",4, IF(Form_Responses[[#This Row],[Q1. How aware are you of TER?]]="I know a lot",5,"")))))</f>
        <v>3</v>
      </c>
      <c r="S126" s="5"/>
      <c r="T126" s="5" t="str">
        <f>IF(Form_Responses[[#This Row],[Q1.  Do you think TER could have value as a digital asset? ]]="Yes",1, IF(Form_Responses[[#This Row],[Q1.  Do you think TER could have value as a digital asset? ]]="No",2, IF(Form_Responses[[#This Row],[Q1.  Do you think TER could have value as a digital asset? ]]="Maybe",3, IF(Form_Responses[[#This Row],[Q1.  Do you think TER could have value as a digital asset? ]]="I think it will complicate things",2, ""))))</f>
        <v/>
      </c>
      <c r="U126" s="5"/>
      <c r="V126" s="5" t="str">
        <f>IF(Form_Responses[[#This Row],[Q2:   Are you interested in digital assets such as cryptocurrencies?  ]]="Yes",1, IF(Form_Responses[[#This Row],[Q2:   Are you interested in digital assets such as cryptocurrencies?  ]]="No",2,""))</f>
        <v/>
      </c>
      <c r="W126" s="5"/>
      <c r="X126" s="5" t="str">
        <f>IF(Form_Responses[[#This Row],[Q1.  What is the main reason you are not interested in digital assets? ]]="I do not trust digital assets",1, IF(Form_Responses[[#This Row],[Q1.  What is the main reason you are not interested in digital assets? ]]="I find them too risky or volatile",2, IF(Form_Responses[[#This Row],[Q1.  What is the main reason you are not interested in digital assets? ]]="I do not understand how they work",3, IF(Form_Responses[[#This Row],[Q1.  What is the main reason you are not interested in digital assets? ]]="I prefer traditional financial options(like cash, bank deposits, or gold)",4, IF(Form_Responses[[#This Row],[Q1.  What is the main reason you are not interested in digital assets? ]]="Not relevant to me",5,"")))))</f>
        <v/>
      </c>
      <c r="Y126" s="5"/>
      <c r="Z126" s="5"/>
      <c r="AA126" s="5"/>
      <c r="AB126" s="5" t="str">
        <f>IF(Form_Responses[[#This Row],[Q2: If a digital asset is backed by gold, would you feel more confident in using it?  ]]="Yes",1, IF(Form_Responses[[#This Row],[Q2: If a digital asset is backed by gold, would you feel more confident in using it?  ]]="No", 2, IF(Form_Responses[[#This Row],[Q2: If a digital asset is backed by gold, would you feel more confident in using it?  ]]="Maybe",3,"")))</f>
        <v/>
      </c>
      <c r="AC126" s="5"/>
      <c r="AD126" s="5" t="str">
        <f>IF(Form_Responses[[#This Row],[Q3: Once Gelephu Mindfulness City becomes operational, would you consider using a gold-backed digital asset (Ter) for:  ]]="Payments",1, IF(Form_Responses[[#This Row],[Q3: Once Gelephu Mindfulness City becomes operational, would you consider using a gold-backed digital asset (Ter) for:  ]]="Savings / Store of Value",2, IF(Form_Responses[[#This Row],[Q3: Once Gelephu Mindfulness City becomes operational, would you consider using a gold-backed digital asset (Ter) for:  ]]="Investment",3, IF(Form_Responses[[#This Row],[Q3: Once Gelephu Mindfulness City becomes operational, would you consider using a gold-backed digital asset (Ter) for:  ]]="I would not use it",4,IF(Form_Responses[[#This Row],[Q3: Once Gelephu Mindfulness City becomes operational, would you consider using a gold-backed digital asset (Ter) for:  ]]="Payments, Savings / Store of Value, Investment",5,IF(Form_Responses[[#This Row],[Q3: Once Gelephu Mindfulness City becomes operational, would you consider using a gold-backed digital asset (Ter) for:  ]]="Savings / Store of Value, Investment",6,IF(Form_Responses[[#This Row],[Q3: Once Gelephu Mindfulness City becomes operational, would you consider using a gold-backed digital asset (Ter) for:  ]]="Payments, Savings / Store of Value",7, IF(Form_Responses[[#This Row],[Q3: Once Gelephu Mindfulness City becomes operational, would you consider using a gold-backed digital asset (Ter) for:  ]]="Payments, Savings / Store of Value, Investment ",5,""))))))))</f>
        <v/>
      </c>
      <c r="AE126" s="5"/>
      <c r="AF126" s="5"/>
      <c r="AG126" s="4" t="s">
        <v>72</v>
      </c>
      <c r="AH126" s="5">
        <f>IF(Form_Responses[[#This Row],[Q1.  How familiar are you with TER as a digital asset?]]="Not familiar",1, IF(Form_Responses[[#This Row],[Q1.  How familiar are you with TER as a digital asset?]]="Slightly familiar",2, IF(Form_Responses[[#This Row],[Q1.  How familiar are you with TER as a digital asset?]]="Moderately familiar",3, IF(Form_Responses[[#This Row],[Q1.  How familiar are you with TER as a digital asset?]]="Very familiar",4, ""))))</f>
        <v>1</v>
      </c>
      <c r="AI126" s="4">
        <v>5</v>
      </c>
      <c r="AJ126" s="4" t="s">
        <v>58</v>
      </c>
      <c r="AK126" s="5">
        <f>IF(Form_Responses[[#This Row],[Q2: Would you consider holding TER in the future?  ]]="Definitely not",1, IF(Form_Responses[[#This Row],[Q2: Would you consider holding TER in the future?  ]]="Probably not",2, IF(Form_Responses[[#This Row],[Q2: Would you consider holding TER in the future?  ]]="Not sure / Maybe",3, IF(Form_Responses[[#This Row],[Q2: Would you consider holding TER in the future?  ]]="Probably yes",4, IF(Form_Responses[[#This Row],[Q2: Would you consider holding TER in the future?  ]]="Definitely yes",5, "")))))</f>
        <v>4</v>
      </c>
      <c r="AL126" s="4" t="s">
        <v>333</v>
      </c>
      <c r="AM126" s="5"/>
      <c r="AN126" s="5"/>
      <c r="AO126" s="5" t="str">
        <f>IF(Form_Responses[[#This Row],[Q2. What factors would increase your trust in TER?]]="Clear information about how TER works",1, IF(Form_Responses[[#This Row],[Q2. What factors would increase your trust in TER?]]="Transparency about gold backing",2, IF(Form_Responses[[#This Row],[Q2. What factors would increase your trust in TER?]]="Government or regulatory support",3, IF(Form_Responses[[#This Row],[Q2. What factors would increase your trust in TER?]]="Security and safety of the platform",4, IF(Form_Responses[[#This Row],[Q2. What factors would increase your trust in TER?]]="Real-world usage in GMC",5, IF(Form_Responses[[#This Row],[Q2. What factors would increase your trust in TER?]]="Recommendations from trusted sources",5,IF(Form_Responses[[#This Row],[Q2. What factors would increase your trust in TER?]]="Clear information about how TER works, Transparency about gold backing, Government or regulatory support, Real-world usage in GMC",6,IF(Form_Responses[[#This Row],[Q2. What factors would increase your trust in TER?]]="Clear information about how TER works, Transparency about gold backing, Government or regulatory support, Security and safety of the platform, Real-world usage in GMC, Recommendations from trusted sources",7,IF(Form_Responses[[#This Row],[Q2. What factors would increase your trust in TER?]]="Government or regulatory support, Recommendations from trusted sources",8,IF(Form_Responses[[#This Row],[Q2. What factors would increase your trust in TER?]]="Clear information about how TER works, Transparency about gold backing, Government or regulatory support, Security and safety of the platform",9,IF(Form_Responses[[#This Row],[Q2. What factors would increase your trust in TER?]]="Clear information about how TER works, Transparency about gold backing, Government or regulatory support, Security and safety of the platform, Real-world usage in GMC",10,IF(Form_Responses[[#This Row],[Q2. What factors would increase your trust in TER?]]="Government or regulatory support, Real-world usage in GMC",11,IF(Form_Responses[[#This Row],[Q2. What factors would increase your trust in TER?]]="Clear information about how TER works, Security and safety of the platform, Real-world usage in GMC",12,IF(Form_Responses[[#This Row],[Q2. What factors would increase your trust in TER?]]="Clear information about how TER works, Transparency about gold backing, Security and safety of the platform, Real-world usage in GMC, Recommendations from trusted sources",13,IF(Form_Responses[[#This Row],[Q2. What factors would increase your trust in TER?]]="Clear information about how TER works, Security and safety of the platform, Recommendations from trusted sources",14,IF(Form_Responses[[#This Row],[Q2. What factors would increase your trust in TER?]]="Government or regulatory support, Security and safety of the platform",15,IF(Form_Responses[[#This Row],[Q2. What factors would increase your trust in TER?]]="Security and safety of the platform, Real-world usage in GMC",16,IF(Form_Responses[[#This Row],[Q2. What factors would increase your trust in TER?]]="Transparency about gold backing, Real-world usage in GMC, Recommendations from trusted sources",17,IF(Form_Responses[[#This Row],[Q2. What factors would increase your trust in TER?]]="Clear information about how TER works, Transparency about gold backing, Security and safety of the platform",18,IF(Form_Responses[[#This Row],[Q2. What factors would increase your trust in TER?]]="Transparency about gold backing, Government or regulatory support",19,IF(Form_Responses[[#This Row],[Q2. What factors would increase your trust in TER?]]="Transparency about gold backing, Real-world usage in GMC",20,"")))))))))))))))))))))</f>
        <v/>
      </c>
      <c r="AP126" s="5"/>
      <c r="AQ126" s="5" t="str">
        <f>IF(Form_Responses[[#This Row],[ Q1.Which aspects of TER do you find appealing?  ]]="The fact that it is backed by gold",1, IF(Form_Responses[[#This Row],[ Q1.Which aspects of TER do you find appealing?  ]]="It is a digital asset (easy to hold and transfer)",2, IF(Form_Responses[[#This Row],[ Q1.Which aspects of TER do you find appealing?  ]]="Potential for stable value",3, IF(Form_Responses[[#This Row],[ Q1.Which aspects of TER do you find appealing?  ]]="Innovation / use of blockchain technology",4, IF(Form_Responses[[#This Row],[ Q1.Which aspects of TER do you find appealing?  ]]="I am not sure",5, IF(Form_Responses[[#This Row],[ Q1.Which aspects of TER do you find appealing?  ]]="The fact that it is backed by gold, It is a digital asset (easy to hold and transfer), Innovation / use of blockchain technology",6, IF(Form_Responses[[#This Row],[ Q1.Which aspects of TER do you find appealing?  ]]="The fact that it is backed by gold, It is a digital asset (easy to hold and transfer)",7,IF(Form_Responses[[#This Row],[ Q1.Which aspects of TER do you find appealing?  ]]="The fact that it is backed by gold, Potential for stable value",8,IF(Form_Responses[[#This Row],[ Q1.Which aspects of TER do you find appealing?  ]]="The fact that it is backed by gold, Innovation / use of blockchain technology",9, IF(Form_Responses[[#This Row],[ Q1.Which aspects of TER do you find appealing?  ]]="The fact that it is backed by gold, It is a digital asset (easy to hold and transfer), Potential for stable value",10,IF(Form_Responses[[#This Row],[ Q1.Which aspects of TER do you find appealing?  ]]="The fact that it is backed by gold, It is a digital asset (easy to hold and transfer), Potential for stable value, Innovation / use of blockchain technology",11,IF(Form_Responses[[#This Row],[ Q1.Which aspects of TER do you find appealing?  ]]="It is a digital asset (easy to hold and transfer), Innovation / use of blockchain technology",12,IF(Form_Responses[[#This Row],[ Q1.Which aspects of TER do you find appealing?  ]]="The fact that it is backed by gold, Potential for stable value, Innovation / use of blockchain technology",13,"")))))))))))))</f>
        <v/>
      </c>
      <c r="AR126" s="5"/>
      <c r="AS126" s="5"/>
      <c r="AT126" s="5" t="str">
        <f>IF(Form_Responses[[#This Row],[Q3: Which digital asset type would you trust more for long-term value?]]="Gold-backed digital assets (like TER)",1, IF(Form_Responses[[#This Row],[Q3: Which digital asset type would you trust more for long-term value?]]="Non-backed cryptocurrencies",2, IF(Form_Responses[[#This Row],[Q3: Which digital asset type would you trust more for long-term value?]]="Not sure",3,"")))</f>
        <v/>
      </c>
      <c r="AU126" s="5"/>
      <c r="AV126" s="5" t="str">
        <f>IF(Form_Responses[[#This Row],[Q4: Once Gelephu Mindfulness City becomes operational, would you consider using TER for:  ]]="Payments",1, IF(Form_Responses[[#This Row],[Q4: Once Gelephu Mindfulness City becomes operational, would you consider using TER for:  ]]="Savings / store of value",2, IF(Form_Responses[[#This Row],[Q4: Once Gelephu Mindfulness City becomes operational, would you consider using TER for:  ]]="Investment",3, IF(Form_Responses[[#This Row],[Q4: Once Gelephu Mindfulness City becomes operational, would you consider using TER for:  ]]="I would not use it",4, IF(Form_Responses[[#This Row],[Q4: Once Gelephu Mindfulness City becomes operational, would you consider using TER for:  ]]="Savings / store of value, Investment",5,IF(Form_Responses[[#This Row],[Q4: Once Gelephu Mindfulness City becomes operational, would you consider using TER for:  ]]="Payments, Savings / store of value, I would not use it",6,IF(Form_Responses[[#This Row],[Q4: Once Gelephu Mindfulness City becomes operational, would you consider using TER for:  ]]="Payments, Savings / store of value, Investment",7,"")))))))</f>
        <v/>
      </c>
      <c r="AW126" s="5"/>
      <c r="AX126"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5" sqref="G15"/>
    </sheetView>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3"/>
  <sheetViews>
    <sheetView topLeftCell="A7" workbookViewId="0">
      <selection activeCell="G20" sqref="G20"/>
    </sheetView>
  </sheetViews>
  <sheetFormatPr defaultRowHeight="12.75" x14ac:dyDescent="0.2"/>
  <cols>
    <col min="1" max="1" width="48.28515625" customWidth="1"/>
  </cols>
  <sheetData>
    <row r="1" spans="1:1" x14ac:dyDescent="0.2">
      <c r="A1" s="8" t="s">
        <v>334</v>
      </c>
    </row>
    <row r="3" spans="1:1" x14ac:dyDescent="0.2">
      <c r="A3" s="6" t="s">
        <v>50</v>
      </c>
    </row>
    <row r="4" spans="1:1" x14ac:dyDescent="0.2">
      <c r="A4" s="7" t="s">
        <v>53</v>
      </c>
    </row>
    <row r="5" spans="1:1" x14ac:dyDescent="0.2">
      <c r="A5" s="7" t="s">
        <v>71</v>
      </c>
    </row>
    <row r="6" spans="1:1" x14ac:dyDescent="0.2">
      <c r="A6" s="6" t="s">
        <v>74</v>
      </c>
    </row>
    <row r="7" spans="1:1" x14ac:dyDescent="0.2">
      <c r="A7" s="7" t="s">
        <v>76</v>
      </c>
    </row>
    <row r="8" spans="1:1" x14ac:dyDescent="0.2">
      <c r="A8" s="7" t="s">
        <v>53</v>
      </c>
    </row>
    <row r="9" spans="1:1" x14ac:dyDescent="0.2">
      <c r="A9" s="6" t="s">
        <v>53</v>
      </c>
    </row>
    <row r="10" spans="1:1" x14ac:dyDescent="0.2">
      <c r="A10" s="7" t="s">
        <v>53</v>
      </c>
    </row>
    <row r="11" spans="1:1" x14ac:dyDescent="0.2">
      <c r="A11" s="6" t="s">
        <v>53</v>
      </c>
    </row>
    <row r="12" spans="1:1" x14ac:dyDescent="0.2">
      <c r="A12" s="7" t="s">
        <v>123</v>
      </c>
    </row>
    <row r="13" spans="1:1" x14ac:dyDescent="0.2">
      <c r="A13" s="7" t="s">
        <v>123</v>
      </c>
    </row>
    <row r="14" spans="1:1" x14ac:dyDescent="0.2">
      <c r="A14" s="7" t="s">
        <v>74</v>
      </c>
    </row>
    <row r="15" spans="1:1" x14ac:dyDescent="0.2">
      <c r="A15" s="6" t="s">
        <v>140</v>
      </c>
    </row>
    <row r="16" spans="1:1" x14ac:dyDescent="0.2">
      <c r="A16" s="7" t="s">
        <v>53</v>
      </c>
    </row>
    <row r="17" spans="1:1" x14ac:dyDescent="0.2">
      <c r="A17" s="6" t="s">
        <v>160</v>
      </c>
    </row>
    <row r="18" spans="1:1" x14ac:dyDescent="0.2">
      <c r="A18" s="7" t="s">
        <v>146</v>
      </c>
    </row>
    <row r="19" spans="1:1" x14ac:dyDescent="0.2">
      <c r="A19" s="6" t="s">
        <v>176</v>
      </c>
    </row>
    <row r="20" spans="1:1" x14ac:dyDescent="0.2">
      <c r="A20" s="7" t="s">
        <v>178</v>
      </c>
    </row>
    <row r="21" spans="1:1" x14ac:dyDescent="0.2">
      <c r="A21" s="6" t="s">
        <v>94</v>
      </c>
    </row>
    <row r="22" spans="1:1" x14ac:dyDescent="0.2">
      <c r="A22" s="6" t="s">
        <v>190</v>
      </c>
    </row>
    <row r="23" spans="1:1" x14ac:dyDescent="0.2">
      <c r="A23" s="6" t="s">
        <v>53</v>
      </c>
    </row>
    <row r="24" spans="1:1" x14ac:dyDescent="0.2">
      <c r="A24" s="7" t="s">
        <v>196</v>
      </c>
    </row>
    <row r="25" spans="1:1" x14ac:dyDescent="0.2">
      <c r="A25" s="7" t="s">
        <v>201</v>
      </c>
    </row>
    <row r="26" spans="1:1" x14ac:dyDescent="0.2">
      <c r="A26" s="6" t="s">
        <v>53</v>
      </c>
    </row>
    <row r="27" spans="1:1" x14ac:dyDescent="0.2">
      <c r="A27" s="7" t="s">
        <v>205</v>
      </c>
    </row>
    <row r="28" spans="1:1" x14ac:dyDescent="0.2">
      <c r="A28" s="6" t="s">
        <v>76</v>
      </c>
    </row>
    <row r="29" spans="1:1" x14ac:dyDescent="0.2">
      <c r="A29" s="7" t="s">
        <v>219</v>
      </c>
    </row>
    <row r="30" spans="1:1" x14ac:dyDescent="0.2">
      <c r="A30" s="6" t="s">
        <v>238</v>
      </c>
    </row>
    <row r="31" spans="1:1" x14ac:dyDescent="0.2">
      <c r="A31" s="7" t="s">
        <v>53</v>
      </c>
    </row>
    <row r="32" spans="1:1" x14ac:dyDescent="0.2">
      <c r="A32" s="7" t="s">
        <v>53</v>
      </c>
    </row>
    <row r="33" spans="1:1" x14ac:dyDescent="0.2">
      <c r="A33" s="6" t="s">
        <v>53</v>
      </c>
    </row>
    <row r="34" spans="1:1" x14ac:dyDescent="0.2">
      <c r="A34" s="7" t="s">
        <v>249</v>
      </c>
    </row>
    <row r="35" spans="1:1" x14ac:dyDescent="0.2">
      <c r="A35" s="6" t="s">
        <v>272</v>
      </c>
    </row>
    <row r="36" spans="1:1" x14ac:dyDescent="0.2">
      <c r="A36" s="6" t="s">
        <v>74</v>
      </c>
    </row>
    <row r="37" spans="1:1" x14ac:dyDescent="0.2">
      <c r="A37" s="6" t="s">
        <v>290</v>
      </c>
    </row>
    <row r="38" spans="1:1" x14ac:dyDescent="0.2">
      <c r="A38" s="7" t="s">
        <v>301</v>
      </c>
    </row>
    <row r="39" spans="1:1" x14ac:dyDescent="0.2">
      <c r="A39" s="6" t="s">
        <v>311</v>
      </c>
    </row>
    <row r="40" spans="1:1" x14ac:dyDescent="0.2">
      <c r="A40" s="6" t="s">
        <v>326</v>
      </c>
    </row>
    <row r="41" spans="1:1" x14ac:dyDescent="0.2">
      <c r="A41" s="7" t="s">
        <v>53</v>
      </c>
    </row>
    <row r="42" spans="1:1" x14ac:dyDescent="0.2">
      <c r="A42" s="9" t="s">
        <v>332</v>
      </c>
    </row>
    <row r="47" spans="1:1" x14ac:dyDescent="0.2">
      <c r="A47" s="10" t="s">
        <v>335</v>
      </c>
    </row>
    <row r="48" spans="1:1" x14ac:dyDescent="0.2">
      <c r="A48" s="11"/>
    </row>
    <row r="49" spans="1:1" x14ac:dyDescent="0.2">
      <c r="A49" s="12" t="s">
        <v>336</v>
      </c>
    </row>
    <row r="50" spans="1:1" x14ac:dyDescent="0.2">
      <c r="A50" s="11"/>
    </row>
    <row r="51" spans="1:1" x14ac:dyDescent="0.2">
      <c r="A51" s="12" t="s">
        <v>337</v>
      </c>
    </row>
    <row r="52" spans="1:1" x14ac:dyDescent="0.2">
      <c r="A52" s="11"/>
    </row>
    <row r="53" spans="1:1" x14ac:dyDescent="0.2">
      <c r="A53" s="12" t="s">
        <v>338</v>
      </c>
    </row>
    <row r="54" spans="1:1" x14ac:dyDescent="0.2">
      <c r="A54" s="11"/>
    </row>
    <row r="55" spans="1:1" x14ac:dyDescent="0.2">
      <c r="A55" s="12" t="s">
        <v>339</v>
      </c>
    </row>
    <row r="56" spans="1:1" x14ac:dyDescent="0.2">
      <c r="A56" s="11"/>
    </row>
    <row r="57" spans="1:1" x14ac:dyDescent="0.2">
      <c r="A57" s="12" t="s">
        <v>340</v>
      </c>
    </row>
    <row r="58" spans="1:1" x14ac:dyDescent="0.2">
      <c r="A58" s="11"/>
    </row>
    <row r="59" spans="1:1" x14ac:dyDescent="0.2">
      <c r="A59" s="12" t="s">
        <v>94</v>
      </c>
    </row>
    <row r="60" spans="1:1" x14ac:dyDescent="0.2">
      <c r="A60" s="11"/>
    </row>
    <row r="61" spans="1:1" x14ac:dyDescent="0.2">
      <c r="A61" s="12" t="s">
        <v>341</v>
      </c>
    </row>
    <row r="62" spans="1:1" x14ac:dyDescent="0.2">
      <c r="A62" s="11"/>
    </row>
    <row r="63" spans="1:1" x14ac:dyDescent="0.2">
      <c r="A63" s="12" t="s">
        <v>219</v>
      </c>
    </row>
    <row r="64" spans="1:1" x14ac:dyDescent="0.2">
      <c r="A64" s="11"/>
    </row>
    <row r="65" spans="1:1" x14ac:dyDescent="0.2">
      <c r="A65" s="12" t="s">
        <v>342</v>
      </c>
    </row>
    <row r="68" spans="1:1" x14ac:dyDescent="0.2">
      <c r="A68" s="10" t="s">
        <v>343</v>
      </c>
    </row>
    <row r="69" spans="1:1" x14ac:dyDescent="0.2">
      <c r="A69" s="11"/>
    </row>
    <row r="70" spans="1:1" x14ac:dyDescent="0.2">
      <c r="A70" s="12" t="s">
        <v>123</v>
      </c>
    </row>
    <row r="71" spans="1:1" x14ac:dyDescent="0.2">
      <c r="A71" s="11"/>
    </row>
    <row r="72" spans="1:1" x14ac:dyDescent="0.2">
      <c r="A72" s="12" t="s">
        <v>344</v>
      </c>
    </row>
    <row r="73" spans="1:1" x14ac:dyDescent="0.2">
      <c r="A73" s="11"/>
    </row>
    <row r="74" spans="1:1" x14ac:dyDescent="0.2">
      <c r="A74" s="12" t="s">
        <v>345</v>
      </c>
    </row>
    <row r="75" spans="1:1" x14ac:dyDescent="0.2">
      <c r="A75" s="11"/>
    </row>
    <row r="76" spans="1:1" x14ac:dyDescent="0.2">
      <c r="A76" s="12" t="s">
        <v>50</v>
      </c>
    </row>
    <row r="77" spans="1:1" x14ac:dyDescent="0.2">
      <c r="A77" s="11"/>
    </row>
    <row r="78" spans="1:1" x14ac:dyDescent="0.2">
      <c r="A78" s="12" t="s">
        <v>340</v>
      </c>
    </row>
    <row r="79" spans="1:1" x14ac:dyDescent="0.2">
      <c r="A79" s="11"/>
    </row>
    <row r="80" spans="1:1" x14ac:dyDescent="0.2">
      <c r="A80" s="12" t="s">
        <v>346</v>
      </c>
    </row>
    <row r="81" spans="1:1" x14ac:dyDescent="0.2">
      <c r="A81" s="11"/>
    </row>
    <row r="82" spans="1:1" x14ac:dyDescent="0.2">
      <c r="A82" s="12" t="s">
        <v>219</v>
      </c>
    </row>
    <row r="83" spans="1:1" x14ac:dyDescent="0.2">
      <c r="A83" s="11"/>
    </row>
    <row r="84" spans="1:1" x14ac:dyDescent="0.2">
      <c r="A84" s="12" t="s">
        <v>342</v>
      </c>
    </row>
    <row r="85" spans="1:1" x14ac:dyDescent="0.2">
      <c r="A85" s="11"/>
    </row>
    <row r="86" spans="1:1" x14ac:dyDescent="0.2">
      <c r="A86" s="12" t="s">
        <v>304</v>
      </c>
    </row>
    <row r="87" spans="1:1" x14ac:dyDescent="0.2">
      <c r="A87" s="11"/>
    </row>
    <row r="88" spans="1:1" x14ac:dyDescent="0.2">
      <c r="A88" s="12" t="s">
        <v>347</v>
      </c>
    </row>
    <row r="89" spans="1:1" x14ac:dyDescent="0.2">
      <c r="A89" s="11"/>
    </row>
    <row r="90" spans="1:1" x14ac:dyDescent="0.2">
      <c r="A90" s="12" t="s">
        <v>348</v>
      </c>
    </row>
    <row r="91" spans="1:1" x14ac:dyDescent="0.2">
      <c r="A91" s="11"/>
    </row>
    <row r="92" spans="1:1" x14ac:dyDescent="0.2">
      <c r="A92" s="12" t="s">
        <v>349</v>
      </c>
    </row>
    <row r="95" spans="1:1" x14ac:dyDescent="0.2">
      <c r="A95" s="10" t="s">
        <v>350</v>
      </c>
    </row>
    <row r="96" spans="1:1" x14ac:dyDescent="0.2">
      <c r="A96" s="11"/>
    </row>
    <row r="97" spans="1:1" x14ac:dyDescent="0.2">
      <c r="A97" s="12" t="s">
        <v>351</v>
      </c>
    </row>
    <row r="98" spans="1:1" x14ac:dyDescent="0.2">
      <c r="A98" s="11"/>
    </row>
    <row r="99" spans="1:1" x14ac:dyDescent="0.2">
      <c r="A99" s="12" t="s">
        <v>352</v>
      </c>
    </row>
    <row r="100" spans="1:1" x14ac:dyDescent="0.2">
      <c r="A100" s="11"/>
    </row>
    <row r="101" spans="1:1" x14ac:dyDescent="0.2">
      <c r="A101" s="12" t="s">
        <v>353</v>
      </c>
    </row>
    <row r="102" spans="1:1" x14ac:dyDescent="0.2">
      <c r="A102" s="11"/>
    </row>
    <row r="103" spans="1:1" x14ac:dyDescent="0.2">
      <c r="A103" s="12" t="s">
        <v>354</v>
      </c>
    </row>
    <row r="104" spans="1:1" x14ac:dyDescent="0.2">
      <c r="A104" s="11"/>
    </row>
    <row r="105" spans="1:1" x14ac:dyDescent="0.2">
      <c r="A105" s="12" t="s">
        <v>355</v>
      </c>
    </row>
    <row r="106" spans="1:1" x14ac:dyDescent="0.2">
      <c r="A106" s="11"/>
    </row>
    <row r="107" spans="1:1" x14ac:dyDescent="0.2">
      <c r="A107" s="12" t="s">
        <v>356</v>
      </c>
    </row>
    <row r="108" spans="1:1" x14ac:dyDescent="0.2">
      <c r="A108" s="11"/>
    </row>
    <row r="109" spans="1:1" x14ac:dyDescent="0.2">
      <c r="A109" s="12" t="s">
        <v>357</v>
      </c>
    </row>
    <row r="110" spans="1:1" x14ac:dyDescent="0.2">
      <c r="A110" s="11"/>
    </row>
    <row r="111" spans="1:1" x14ac:dyDescent="0.2">
      <c r="A111" s="12" t="s">
        <v>358</v>
      </c>
    </row>
    <row r="112" spans="1:1" x14ac:dyDescent="0.2">
      <c r="A112" s="11"/>
    </row>
    <row r="113" spans="1:1" x14ac:dyDescent="0.2">
      <c r="A113" s="12" t="s">
        <v>359</v>
      </c>
    </row>
    <row r="114" spans="1:1" x14ac:dyDescent="0.2">
      <c r="A114" s="11"/>
    </row>
    <row r="115" spans="1:1" x14ac:dyDescent="0.2">
      <c r="A115" s="12" t="s">
        <v>360</v>
      </c>
    </row>
    <row r="116" spans="1:1" x14ac:dyDescent="0.2">
      <c r="A116" s="11"/>
    </row>
    <row r="117" spans="1:1" x14ac:dyDescent="0.2">
      <c r="A117" s="12" t="s">
        <v>361</v>
      </c>
    </row>
    <row r="118" spans="1:1" x14ac:dyDescent="0.2">
      <c r="A118" s="11"/>
    </row>
    <row r="119" spans="1:1" x14ac:dyDescent="0.2">
      <c r="A119" s="12" t="s">
        <v>362</v>
      </c>
    </row>
    <row r="121" spans="1:1" x14ac:dyDescent="0.2">
      <c r="A121" s="12" t="s">
        <v>363</v>
      </c>
    </row>
    <row r="122" spans="1:1" x14ac:dyDescent="0.2">
      <c r="A122" s="11"/>
    </row>
    <row r="123" spans="1:1" x14ac:dyDescent="0.2">
      <c r="A123" s="12" t="s">
        <v>364</v>
      </c>
    </row>
    <row r="126" spans="1:1" x14ac:dyDescent="0.2">
      <c r="A126" s="10" t="s">
        <v>365</v>
      </c>
    </row>
    <row r="127" spans="1:1" x14ac:dyDescent="0.2">
      <c r="A127" s="11"/>
    </row>
    <row r="128" spans="1:1" x14ac:dyDescent="0.2">
      <c r="A128" s="12" t="s">
        <v>366</v>
      </c>
    </row>
    <row r="129" spans="1:1" x14ac:dyDescent="0.2">
      <c r="A129" s="11"/>
    </row>
    <row r="130" spans="1:1" x14ac:dyDescent="0.2">
      <c r="A130" s="12" t="s">
        <v>367</v>
      </c>
    </row>
    <row r="131" spans="1:1" x14ac:dyDescent="0.2">
      <c r="A131" s="11"/>
    </row>
    <row r="132" spans="1:1" x14ac:dyDescent="0.2">
      <c r="A132" s="12" t="s">
        <v>368</v>
      </c>
    </row>
    <row r="133" spans="1:1" x14ac:dyDescent="0.2">
      <c r="A133" s="11"/>
    </row>
    <row r="134" spans="1:1" x14ac:dyDescent="0.2">
      <c r="A134" s="12" t="s">
        <v>369</v>
      </c>
    </row>
    <row r="138" spans="1:1" x14ac:dyDescent="0.2">
      <c r="A138" s="10" t="s">
        <v>370</v>
      </c>
    </row>
    <row r="139" spans="1:1" x14ac:dyDescent="0.2">
      <c r="A139" s="11"/>
    </row>
    <row r="140" spans="1:1" x14ac:dyDescent="0.2">
      <c r="A140" s="12" t="s">
        <v>371</v>
      </c>
    </row>
    <row r="141" spans="1:1" x14ac:dyDescent="0.2">
      <c r="A141" s="11"/>
    </row>
    <row r="142" spans="1:1" x14ac:dyDescent="0.2">
      <c r="A142" s="12" t="s">
        <v>372</v>
      </c>
    </row>
    <row r="143" spans="1:1" x14ac:dyDescent="0.2">
      <c r="A143" s="11"/>
    </row>
    <row r="144" spans="1:1" x14ac:dyDescent="0.2">
      <c r="A144" s="12" t="s">
        <v>373</v>
      </c>
    </row>
    <row r="147" spans="1:1" x14ac:dyDescent="0.2">
      <c r="A147" s="10" t="s">
        <v>374</v>
      </c>
    </row>
    <row r="148" spans="1:1" x14ac:dyDescent="0.2">
      <c r="A148" s="11"/>
    </row>
    <row r="149" spans="1:1" x14ac:dyDescent="0.2">
      <c r="A149" s="12" t="s">
        <v>375</v>
      </c>
    </row>
    <row r="150" spans="1:1" x14ac:dyDescent="0.2">
      <c r="A150" s="11"/>
    </row>
    <row r="151" spans="1:1" x14ac:dyDescent="0.2">
      <c r="A151" s="12" t="s">
        <v>376</v>
      </c>
    </row>
    <row r="152" spans="1:1" x14ac:dyDescent="0.2">
      <c r="A152" s="11"/>
    </row>
    <row r="153" spans="1:1" x14ac:dyDescent="0.2">
      <c r="A153" s="12" t="s">
        <v>377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1"/>
  <sheetViews>
    <sheetView workbookViewId="0">
      <selection activeCell="E191" sqref="E191"/>
    </sheetView>
  </sheetViews>
  <sheetFormatPr defaultRowHeight="12.75" x14ac:dyDescent="0.2"/>
  <cols>
    <col min="1" max="1" width="75" customWidth="1"/>
  </cols>
  <sheetData>
    <row r="1" spans="1:1" x14ac:dyDescent="0.2">
      <c r="A1" s="8" t="s">
        <v>378</v>
      </c>
    </row>
    <row r="3" spans="1:1" x14ac:dyDescent="0.2">
      <c r="A3" s="6" t="s">
        <v>37</v>
      </c>
    </row>
    <row r="4" spans="1:1" x14ac:dyDescent="0.2">
      <c r="A4" s="7" t="s">
        <v>42</v>
      </c>
    </row>
    <row r="5" spans="1:1" x14ac:dyDescent="0.2">
      <c r="A5" s="6" t="s">
        <v>57</v>
      </c>
    </row>
    <row r="6" spans="1:1" x14ac:dyDescent="0.2">
      <c r="A6" s="7" t="s">
        <v>61</v>
      </c>
    </row>
    <row r="7" spans="1:1" x14ac:dyDescent="0.2">
      <c r="A7" s="6" t="s">
        <v>64</v>
      </c>
    </row>
    <row r="8" spans="1:1" x14ac:dyDescent="0.2">
      <c r="A8" s="7" t="s">
        <v>57</v>
      </c>
    </row>
    <row r="9" spans="1:1" x14ac:dyDescent="0.2">
      <c r="A9" s="6" t="s">
        <v>70</v>
      </c>
    </row>
    <row r="10" spans="1:1" x14ac:dyDescent="0.2">
      <c r="A10" s="6" t="s">
        <v>79</v>
      </c>
    </row>
    <row r="11" spans="1:1" x14ac:dyDescent="0.2">
      <c r="A11" s="6" t="s">
        <v>90</v>
      </c>
    </row>
    <row r="12" spans="1:1" x14ac:dyDescent="0.2">
      <c r="A12" s="7" t="s">
        <v>94</v>
      </c>
    </row>
    <row r="13" spans="1:1" x14ac:dyDescent="0.2">
      <c r="A13" s="7" t="s">
        <v>100</v>
      </c>
    </row>
    <row r="14" spans="1:1" x14ac:dyDescent="0.2">
      <c r="A14" s="6" t="s">
        <v>103</v>
      </c>
    </row>
    <row r="15" spans="1:1" x14ac:dyDescent="0.2">
      <c r="A15" s="7" t="s">
        <v>112</v>
      </c>
    </row>
    <row r="16" spans="1:1" x14ac:dyDescent="0.2">
      <c r="A16" s="6" t="s">
        <v>116</v>
      </c>
    </row>
    <row r="17" spans="1:1" x14ac:dyDescent="0.2">
      <c r="A17" s="7" t="s">
        <v>119</v>
      </c>
    </row>
    <row r="18" spans="1:1" x14ac:dyDescent="0.2">
      <c r="A18" s="6" t="s">
        <v>121</v>
      </c>
    </row>
    <row r="19" spans="1:1" x14ac:dyDescent="0.2">
      <c r="A19" s="6" t="s">
        <v>126</v>
      </c>
    </row>
    <row r="20" spans="1:1" x14ac:dyDescent="0.2">
      <c r="A20" s="6" t="s">
        <v>132</v>
      </c>
    </row>
    <row r="21" spans="1:1" x14ac:dyDescent="0.2">
      <c r="A21" s="7" t="s">
        <v>134</v>
      </c>
    </row>
    <row r="22" spans="1:1" x14ac:dyDescent="0.2">
      <c r="A22" s="6" t="s">
        <v>136</v>
      </c>
    </row>
    <row r="23" spans="1:1" x14ac:dyDescent="0.2">
      <c r="A23" s="6" t="s">
        <v>146</v>
      </c>
    </row>
    <row r="24" spans="1:1" x14ac:dyDescent="0.2">
      <c r="A24" s="7" t="s">
        <v>146</v>
      </c>
    </row>
    <row r="25" spans="1:1" x14ac:dyDescent="0.2">
      <c r="A25" s="6" t="s">
        <v>149</v>
      </c>
    </row>
    <row r="26" spans="1:1" x14ac:dyDescent="0.2">
      <c r="A26" s="7" t="s">
        <v>151</v>
      </c>
    </row>
    <row r="27" spans="1:1" x14ac:dyDescent="0.2">
      <c r="A27" s="6" t="s">
        <v>76</v>
      </c>
    </row>
    <row r="28" spans="1:1" x14ac:dyDescent="0.2">
      <c r="A28" s="7" t="s">
        <v>156</v>
      </c>
    </row>
    <row r="29" spans="1:1" x14ac:dyDescent="0.2">
      <c r="A29" s="7" t="s">
        <v>162</v>
      </c>
    </row>
    <row r="30" spans="1:1" x14ac:dyDescent="0.2">
      <c r="A30" s="6" t="s">
        <v>165</v>
      </c>
    </row>
    <row r="31" spans="1:1" x14ac:dyDescent="0.2">
      <c r="A31" s="6" t="s">
        <v>162</v>
      </c>
    </row>
    <row r="32" spans="1:1" x14ac:dyDescent="0.2">
      <c r="A32" s="7" t="s">
        <v>172</v>
      </c>
    </row>
    <row r="33" spans="1:1" x14ac:dyDescent="0.2">
      <c r="A33" s="7" t="s">
        <v>182</v>
      </c>
    </row>
    <row r="34" spans="1:1" x14ac:dyDescent="0.2">
      <c r="A34" s="6" t="s">
        <v>186</v>
      </c>
    </row>
    <row r="35" spans="1:1" x14ac:dyDescent="0.2">
      <c r="A35" s="7" t="s">
        <v>188</v>
      </c>
    </row>
    <row r="36" spans="1:1" x14ac:dyDescent="0.2">
      <c r="A36" s="7" t="s">
        <v>192</v>
      </c>
    </row>
    <row r="37" spans="1:1" x14ac:dyDescent="0.2">
      <c r="A37" s="6" t="s">
        <v>199</v>
      </c>
    </row>
    <row r="38" spans="1:1" x14ac:dyDescent="0.2">
      <c r="A38" s="6" t="s">
        <v>207</v>
      </c>
    </row>
    <row r="39" spans="1:1" x14ac:dyDescent="0.2">
      <c r="A39" s="7" t="s">
        <v>209</v>
      </c>
    </row>
    <row r="40" spans="1:1" x14ac:dyDescent="0.2">
      <c r="A40" s="7" t="s">
        <v>214</v>
      </c>
    </row>
    <row r="41" spans="1:1" x14ac:dyDescent="0.2">
      <c r="A41" s="6" t="s">
        <v>217</v>
      </c>
    </row>
    <row r="42" spans="1:1" x14ac:dyDescent="0.2">
      <c r="A42" s="6" t="s">
        <v>221</v>
      </c>
    </row>
    <row r="43" spans="1:1" x14ac:dyDescent="0.2">
      <c r="A43" s="7" t="s">
        <v>223</v>
      </c>
    </row>
    <row r="44" spans="1:1" x14ac:dyDescent="0.2">
      <c r="A44" s="6" t="s">
        <v>225</v>
      </c>
    </row>
    <row r="45" spans="1:1" x14ac:dyDescent="0.2">
      <c r="A45" s="7" t="s">
        <v>227</v>
      </c>
    </row>
    <row r="46" spans="1:1" x14ac:dyDescent="0.2">
      <c r="A46" s="6" t="s">
        <v>230</v>
      </c>
    </row>
    <row r="47" spans="1:1" x14ac:dyDescent="0.2">
      <c r="A47" s="7" t="s">
        <v>232</v>
      </c>
    </row>
    <row r="48" spans="1:1" x14ac:dyDescent="0.2">
      <c r="A48" s="6" t="s">
        <v>234</v>
      </c>
    </row>
    <row r="49" spans="1:1" x14ac:dyDescent="0.2">
      <c r="A49" s="7" t="s">
        <v>236</v>
      </c>
    </row>
    <row r="50" spans="1:1" x14ac:dyDescent="0.2">
      <c r="A50" s="6" t="s">
        <v>242</v>
      </c>
    </row>
    <row r="51" spans="1:1" x14ac:dyDescent="0.2">
      <c r="A51" s="6" t="s">
        <v>245</v>
      </c>
    </row>
    <row r="52" spans="1:1" x14ac:dyDescent="0.2">
      <c r="A52" s="7" t="s">
        <v>246</v>
      </c>
    </row>
    <row r="53" spans="1:1" x14ac:dyDescent="0.2">
      <c r="A53" s="6" t="s">
        <v>251</v>
      </c>
    </row>
    <row r="54" spans="1:1" x14ac:dyDescent="0.2">
      <c r="A54" s="7" t="s">
        <v>61</v>
      </c>
    </row>
    <row r="55" spans="1:1" x14ac:dyDescent="0.2">
      <c r="A55" s="6" t="s">
        <v>253</v>
      </c>
    </row>
    <row r="56" spans="1:1" x14ac:dyDescent="0.2">
      <c r="A56" s="7" t="s">
        <v>255</v>
      </c>
    </row>
    <row r="57" spans="1:1" x14ac:dyDescent="0.2">
      <c r="A57" s="6" t="s">
        <v>257</v>
      </c>
    </row>
    <row r="58" spans="1:1" x14ac:dyDescent="0.2">
      <c r="A58" s="7" t="s">
        <v>260</v>
      </c>
    </row>
    <row r="59" spans="1:1" x14ac:dyDescent="0.2">
      <c r="A59" s="6" t="s">
        <v>262</v>
      </c>
    </row>
    <row r="60" spans="1:1" x14ac:dyDescent="0.2">
      <c r="A60" s="7" t="s">
        <v>265</v>
      </c>
    </row>
    <row r="61" spans="1:1" x14ac:dyDescent="0.2">
      <c r="A61" s="6" t="s">
        <v>268</v>
      </c>
    </row>
    <row r="62" spans="1:1" x14ac:dyDescent="0.2">
      <c r="A62" s="7" t="s">
        <v>270</v>
      </c>
    </row>
    <row r="63" spans="1:1" x14ac:dyDescent="0.2">
      <c r="A63" s="7" t="s">
        <v>275</v>
      </c>
    </row>
    <row r="64" spans="1:1" x14ac:dyDescent="0.2">
      <c r="A64" s="6" t="s">
        <v>94</v>
      </c>
    </row>
    <row r="65" spans="1:1" x14ac:dyDescent="0.2">
      <c r="A65" s="7" t="s">
        <v>280</v>
      </c>
    </row>
    <row r="66" spans="1:1" x14ac:dyDescent="0.2">
      <c r="A66" s="6" t="s">
        <v>282</v>
      </c>
    </row>
    <row r="67" spans="1:1" x14ac:dyDescent="0.2">
      <c r="A67" s="7" t="s">
        <v>284</v>
      </c>
    </row>
    <row r="68" spans="1:1" x14ac:dyDescent="0.2">
      <c r="A68" s="7" t="s">
        <v>288</v>
      </c>
    </row>
    <row r="69" spans="1:1" x14ac:dyDescent="0.2">
      <c r="A69" s="7" t="s">
        <v>292</v>
      </c>
    </row>
    <row r="70" spans="1:1" x14ac:dyDescent="0.2">
      <c r="A70" s="6" t="s">
        <v>146</v>
      </c>
    </row>
    <row r="71" spans="1:1" x14ac:dyDescent="0.2">
      <c r="A71" s="7" t="s">
        <v>296</v>
      </c>
    </row>
    <row r="72" spans="1:1" x14ac:dyDescent="0.2">
      <c r="A72" s="6" t="s">
        <v>94</v>
      </c>
    </row>
    <row r="73" spans="1:1" x14ac:dyDescent="0.2">
      <c r="A73" s="6" t="s">
        <v>304</v>
      </c>
    </row>
    <row r="74" spans="1:1" x14ac:dyDescent="0.2">
      <c r="A74" s="7" t="s">
        <v>307</v>
      </c>
    </row>
    <row r="75" spans="1:1" x14ac:dyDescent="0.2">
      <c r="A75" s="6" t="s">
        <v>159</v>
      </c>
    </row>
    <row r="76" spans="1:1" x14ac:dyDescent="0.2">
      <c r="A76" s="7" t="s">
        <v>296</v>
      </c>
    </row>
    <row r="77" spans="1:1" x14ac:dyDescent="0.2">
      <c r="A77" s="7" t="s">
        <v>314</v>
      </c>
    </row>
    <row r="78" spans="1:1" x14ac:dyDescent="0.2">
      <c r="A78" s="6" t="s">
        <v>316</v>
      </c>
    </row>
    <row r="79" spans="1:1" x14ac:dyDescent="0.2">
      <c r="A79" s="7" t="s">
        <v>318</v>
      </c>
    </row>
    <row r="80" spans="1:1" x14ac:dyDescent="0.2">
      <c r="A80" s="6" t="s">
        <v>320</v>
      </c>
    </row>
    <row r="81" spans="1:1" x14ac:dyDescent="0.2">
      <c r="A81" s="7" t="s">
        <v>322</v>
      </c>
    </row>
    <row r="85" spans="1:1" x14ac:dyDescent="0.2">
      <c r="A85" s="10" t="s">
        <v>379</v>
      </c>
    </row>
    <row r="87" spans="1:1" x14ac:dyDescent="0.2">
      <c r="A87" t="s">
        <v>380</v>
      </c>
    </row>
    <row r="89" spans="1:1" x14ac:dyDescent="0.2">
      <c r="A89" t="s">
        <v>381</v>
      </c>
    </row>
    <row r="91" spans="1:1" x14ac:dyDescent="0.2">
      <c r="A91" t="s">
        <v>382</v>
      </c>
    </row>
    <row r="93" spans="1:1" x14ac:dyDescent="0.2">
      <c r="A93" t="s">
        <v>383</v>
      </c>
    </row>
    <row r="95" spans="1:1" x14ac:dyDescent="0.2">
      <c r="A95" t="s">
        <v>384</v>
      </c>
    </row>
    <row r="97" spans="1:1" x14ac:dyDescent="0.2">
      <c r="A97" t="s">
        <v>385</v>
      </c>
    </row>
    <row r="99" spans="1:1" x14ac:dyDescent="0.2">
      <c r="A99" t="s">
        <v>386</v>
      </c>
    </row>
    <row r="101" spans="1:1" x14ac:dyDescent="0.2">
      <c r="A101" t="s">
        <v>387</v>
      </c>
    </row>
    <row r="103" spans="1:1" x14ac:dyDescent="0.2">
      <c r="A103" t="s">
        <v>388</v>
      </c>
    </row>
    <row r="105" spans="1:1" x14ac:dyDescent="0.2">
      <c r="A105" t="s">
        <v>389</v>
      </c>
    </row>
    <row r="107" spans="1:1" x14ac:dyDescent="0.2">
      <c r="A107" t="s">
        <v>390</v>
      </c>
    </row>
    <row r="109" spans="1:1" x14ac:dyDescent="0.2">
      <c r="A109" t="s">
        <v>391</v>
      </c>
    </row>
    <row r="111" spans="1:1" x14ac:dyDescent="0.2">
      <c r="A111" s="10" t="s">
        <v>392</v>
      </c>
    </row>
    <row r="114" spans="1:1" x14ac:dyDescent="0.2">
      <c r="A114" t="s">
        <v>393</v>
      </c>
    </row>
    <row r="116" spans="1:1" x14ac:dyDescent="0.2">
      <c r="A116" t="s">
        <v>394</v>
      </c>
    </row>
    <row r="118" spans="1:1" x14ac:dyDescent="0.2">
      <c r="A118" t="s">
        <v>395</v>
      </c>
    </row>
    <row r="120" spans="1:1" x14ac:dyDescent="0.2">
      <c r="A120" t="s">
        <v>396</v>
      </c>
    </row>
    <row r="122" spans="1:1" x14ac:dyDescent="0.2">
      <c r="A122" t="s">
        <v>397</v>
      </c>
    </row>
    <row r="124" spans="1:1" x14ac:dyDescent="0.2">
      <c r="A124" t="s">
        <v>398</v>
      </c>
    </row>
    <row r="126" spans="1:1" x14ac:dyDescent="0.2">
      <c r="A126" t="s">
        <v>399</v>
      </c>
    </row>
    <row r="128" spans="1:1" x14ac:dyDescent="0.2">
      <c r="A128" t="s">
        <v>400</v>
      </c>
    </row>
    <row r="130" spans="1:1" x14ac:dyDescent="0.2">
      <c r="A130" t="s">
        <v>401</v>
      </c>
    </row>
    <row r="132" spans="1:1" x14ac:dyDescent="0.2">
      <c r="A132" t="s">
        <v>402</v>
      </c>
    </row>
    <row r="134" spans="1:1" x14ac:dyDescent="0.2">
      <c r="A134" t="s">
        <v>403</v>
      </c>
    </row>
    <row r="136" spans="1:1" x14ac:dyDescent="0.2">
      <c r="A136" t="s">
        <v>404</v>
      </c>
    </row>
    <row r="138" spans="1:1" x14ac:dyDescent="0.2">
      <c r="A138" s="10" t="s">
        <v>405</v>
      </c>
    </row>
    <row r="140" spans="1:1" x14ac:dyDescent="0.2">
      <c r="A140" t="s">
        <v>406</v>
      </c>
    </row>
    <row r="142" spans="1:1" x14ac:dyDescent="0.2">
      <c r="A142" t="s">
        <v>407</v>
      </c>
    </row>
    <row r="144" spans="1:1" x14ac:dyDescent="0.2">
      <c r="A144" t="s">
        <v>408</v>
      </c>
    </row>
    <row r="146" spans="1:1" x14ac:dyDescent="0.2">
      <c r="A146" t="s">
        <v>409</v>
      </c>
    </row>
    <row r="148" spans="1:1" x14ac:dyDescent="0.2">
      <c r="A148" t="s">
        <v>410</v>
      </c>
    </row>
    <row r="150" spans="1:1" x14ac:dyDescent="0.2">
      <c r="A150" t="s">
        <v>411</v>
      </c>
    </row>
    <row r="152" spans="1:1" x14ac:dyDescent="0.2">
      <c r="A152" t="s">
        <v>412</v>
      </c>
    </row>
    <row r="154" spans="1:1" x14ac:dyDescent="0.2">
      <c r="A154" t="s">
        <v>413</v>
      </c>
    </row>
    <row r="156" spans="1:1" x14ac:dyDescent="0.2">
      <c r="A156" t="s">
        <v>414</v>
      </c>
    </row>
    <row r="158" spans="1:1" x14ac:dyDescent="0.2">
      <c r="A158" t="s">
        <v>415</v>
      </c>
    </row>
    <row r="160" spans="1:1" x14ac:dyDescent="0.2">
      <c r="A160" t="s">
        <v>416</v>
      </c>
    </row>
    <row r="162" spans="1:1" x14ac:dyDescent="0.2">
      <c r="A162" t="s">
        <v>417</v>
      </c>
    </row>
    <row r="164" spans="1:1" x14ac:dyDescent="0.2">
      <c r="A164" t="s">
        <v>418</v>
      </c>
    </row>
    <row r="165" spans="1:1" x14ac:dyDescent="0.2">
      <c r="A165" s="8" t="s">
        <v>419</v>
      </c>
    </row>
    <row r="167" spans="1:1" x14ac:dyDescent="0.2">
      <c r="A167" s="10" t="s">
        <v>420</v>
      </c>
    </row>
    <row r="169" spans="1:1" x14ac:dyDescent="0.2">
      <c r="A169" t="s">
        <v>421</v>
      </c>
    </row>
    <row r="171" spans="1:1" x14ac:dyDescent="0.2">
      <c r="A171" t="s">
        <v>422</v>
      </c>
    </row>
    <row r="173" spans="1:1" x14ac:dyDescent="0.2">
      <c r="A173" t="s">
        <v>423</v>
      </c>
    </row>
    <row r="175" spans="1:1" x14ac:dyDescent="0.2">
      <c r="A175" t="s">
        <v>424</v>
      </c>
    </row>
    <row r="177" spans="1:1" x14ac:dyDescent="0.2">
      <c r="A177" s="10" t="s">
        <v>425</v>
      </c>
    </row>
    <row r="179" spans="1:1" x14ac:dyDescent="0.2">
      <c r="A179" t="s">
        <v>426</v>
      </c>
    </row>
    <row r="181" spans="1:1" x14ac:dyDescent="0.2">
      <c r="A181" t="s">
        <v>427</v>
      </c>
    </row>
    <row r="183" spans="1:1" x14ac:dyDescent="0.2">
      <c r="A183" t="s">
        <v>428</v>
      </c>
    </row>
    <row r="185" spans="1:1" x14ac:dyDescent="0.2">
      <c r="A185" s="13" t="s">
        <v>429</v>
      </c>
    </row>
    <row r="186" spans="1:1" x14ac:dyDescent="0.2">
      <c r="A186" s="11"/>
    </row>
    <row r="187" spans="1:1" x14ac:dyDescent="0.2">
      <c r="A187" s="12" t="s">
        <v>430</v>
      </c>
    </row>
    <row r="188" spans="1:1" x14ac:dyDescent="0.2">
      <c r="A188" s="11"/>
    </row>
    <row r="189" spans="1:1" x14ac:dyDescent="0.2">
      <c r="A189" s="12" t="s">
        <v>431</v>
      </c>
    </row>
    <row r="190" spans="1:1" x14ac:dyDescent="0.2">
      <c r="A190" s="11"/>
    </row>
    <row r="191" spans="1:1" x14ac:dyDescent="0.2">
      <c r="A191" s="12" t="s">
        <v>432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Views>
    <sheetView workbookViewId="0">
      <selection activeCell="C64" sqref="C64"/>
    </sheetView>
  </sheetViews>
  <sheetFormatPr defaultRowHeight="12.75" x14ac:dyDescent="0.2"/>
  <cols>
    <col min="1" max="1" width="72.42578125" customWidth="1"/>
  </cols>
  <sheetData>
    <row r="1" spans="1:1" x14ac:dyDescent="0.2">
      <c r="A1" s="10" t="s">
        <v>433</v>
      </c>
    </row>
    <row r="3" spans="1:1" x14ac:dyDescent="0.2">
      <c r="A3" s="7" t="s">
        <v>159</v>
      </c>
    </row>
    <row r="4" spans="1:1" x14ac:dyDescent="0.2">
      <c r="A4" s="6" t="s">
        <v>36</v>
      </c>
    </row>
    <row r="5" spans="1:1" x14ac:dyDescent="0.2">
      <c r="A5" s="6" t="s">
        <v>159</v>
      </c>
    </row>
    <row r="6" spans="1:1" x14ac:dyDescent="0.2">
      <c r="A6" s="6" t="s">
        <v>222</v>
      </c>
    </row>
    <row r="7" spans="1:1" x14ac:dyDescent="0.2">
      <c r="A7" s="7" t="s">
        <v>233</v>
      </c>
    </row>
    <row r="8" spans="1:1" x14ac:dyDescent="0.2">
      <c r="A8" s="6" t="s">
        <v>35</v>
      </c>
    </row>
    <row r="9" spans="1:1" x14ac:dyDescent="0.2">
      <c r="A9" s="7" t="s">
        <v>60</v>
      </c>
    </row>
    <row r="10" spans="1:1" x14ac:dyDescent="0.2">
      <c r="A10" s="6" t="s">
        <v>291</v>
      </c>
    </row>
    <row r="11" spans="1:1" x14ac:dyDescent="0.2">
      <c r="A11" s="6" t="s">
        <v>321</v>
      </c>
    </row>
    <row r="12" spans="1:1" x14ac:dyDescent="0.2">
      <c r="A12" s="7"/>
    </row>
    <row r="15" spans="1:1" x14ac:dyDescent="0.2">
      <c r="A15" s="10" t="s">
        <v>379</v>
      </c>
    </row>
    <row r="17" spans="1:1" x14ac:dyDescent="0.2">
      <c r="A17" t="s">
        <v>434</v>
      </c>
    </row>
    <row r="19" spans="1:1" x14ac:dyDescent="0.2">
      <c r="A19" t="s">
        <v>435</v>
      </c>
    </row>
    <row r="21" spans="1:1" x14ac:dyDescent="0.2">
      <c r="A21" t="s">
        <v>436</v>
      </c>
    </row>
    <row r="23" spans="1:1" x14ac:dyDescent="0.2">
      <c r="A23" t="s">
        <v>437</v>
      </c>
    </row>
    <row r="25" spans="1:1" x14ac:dyDescent="0.2">
      <c r="A25" t="s">
        <v>438</v>
      </c>
    </row>
    <row r="27" spans="1:1" x14ac:dyDescent="0.2">
      <c r="A27" t="s">
        <v>439</v>
      </c>
    </row>
    <row r="29" spans="1:1" x14ac:dyDescent="0.2">
      <c r="A29" s="10" t="s">
        <v>392</v>
      </c>
    </row>
    <row r="31" spans="1:1" x14ac:dyDescent="0.2">
      <c r="A31" t="s">
        <v>440</v>
      </c>
    </row>
    <row r="33" spans="1:1" x14ac:dyDescent="0.2">
      <c r="A33" t="s">
        <v>441</v>
      </c>
    </row>
    <row r="35" spans="1:1" x14ac:dyDescent="0.2">
      <c r="A35" t="s">
        <v>442</v>
      </c>
    </row>
    <row r="37" spans="1:1" x14ac:dyDescent="0.2">
      <c r="A37" t="s">
        <v>443</v>
      </c>
    </row>
    <row r="39" spans="1:1" x14ac:dyDescent="0.2">
      <c r="A39" s="10" t="s">
        <v>444</v>
      </c>
    </row>
    <row r="41" spans="1:1" x14ac:dyDescent="0.2">
      <c r="A41" t="s">
        <v>445</v>
      </c>
    </row>
    <row r="43" spans="1:1" x14ac:dyDescent="0.2">
      <c r="A43" t="s">
        <v>446</v>
      </c>
    </row>
    <row r="45" spans="1:1" x14ac:dyDescent="0.2">
      <c r="A45" t="s">
        <v>447</v>
      </c>
    </row>
    <row r="47" spans="1:1" x14ac:dyDescent="0.2">
      <c r="A47" t="s">
        <v>448</v>
      </c>
    </row>
    <row r="49" spans="1:1" x14ac:dyDescent="0.2">
      <c r="A49" t="s">
        <v>449</v>
      </c>
    </row>
    <row r="50" spans="1:1" x14ac:dyDescent="0.2">
      <c r="A50" t="s">
        <v>450</v>
      </c>
    </row>
    <row r="52" spans="1:1" x14ac:dyDescent="0.2">
      <c r="A52" s="10" t="s">
        <v>420</v>
      </c>
    </row>
    <row r="54" spans="1:1" x14ac:dyDescent="0.2">
      <c r="A54" t="s">
        <v>452</v>
      </c>
    </row>
    <row r="56" spans="1:1" x14ac:dyDescent="0.2">
      <c r="A56" t="s">
        <v>451</v>
      </c>
    </row>
    <row r="58" spans="1:1" x14ac:dyDescent="0.2">
      <c r="A58" s="10" t="s">
        <v>425</v>
      </c>
    </row>
    <row r="60" spans="1:1" x14ac:dyDescent="0.2">
      <c r="A60" t="s">
        <v>453</v>
      </c>
    </row>
    <row r="62" spans="1:1" x14ac:dyDescent="0.2">
      <c r="A62" t="s">
        <v>454</v>
      </c>
    </row>
    <row r="64" spans="1:1" x14ac:dyDescent="0.2">
      <c r="A64" t="s">
        <v>455</v>
      </c>
    </row>
    <row r="66" spans="1:1" x14ac:dyDescent="0.2">
      <c r="A66" s="10" t="s">
        <v>429</v>
      </c>
    </row>
    <row r="68" spans="1:1" x14ac:dyDescent="0.2">
      <c r="A68" t="s">
        <v>456</v>
      </c>
    </row>
    <row r="70" spans="1:1" x14ac:dyDescent="0.2">
      <c r="A70" t="s">
        <v>457</v>
      </c>
    </row>
    <row r="72" spans="1:1" x14ac:dyDescent="0.2">
      <c r="A72" t="s">
        <v>458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5"/>
  <sheetViews>
    <sheetView topLeftCell="A10" workbookViewId="0">
      <selection activeCell="E128" sqref="E128"/>
    </sheetView>
  </sheetViews>
  <sheetFormatPr defaultRowHeight="12.75" x14ac:dyDescent="0.2"/>
  <cols>
    <col min="1" max="1" width="45.5703125" customWidth="1"/>
  </cols>
  <sheetData>
    <row r="1" spans="1:1" x14ac:dyDescent="0.2">
      <c r="A1" s="8" t="s">
        <v>459</v>
      </c>
    </row>
    <row r="3" spans="1:1" x14ac:dyDescent="0.2">
      <c r="A3" s="7" t="s">
        <v>67</v>
      </c>
    </row>
    <row r="4" spans="1:1" x14ac:dyDescent="0.2">
      <c r="A4" s="6" t="s">
        <v>81</v>
      </c>
    </row>
    <row r="5" spans="1:1" x14ac:dyDescent="0.2">
      <c r="A5" s="6" t="s">
        <v>91</v>
      </c>
    </row>
    <row r="6" spans="1:1" x14ac:dyDescent="0.2">
      <c r="A6" s="7" t="s">
        <v>95</v>
      </c>
    </row>
    <row r="7" spans="1:1" x14ac:dyDescent="0.2">
      <c r="A7" s="6" t="s">
        <v>104</v>
      </c>
    </row>
    <row r="8" spans="1:1" x14ac:dyDescent="0.2">
      <c r="A8" s="6" t="s">
        <v>127</v>
      </c>
    </row>
    <row r="9" spans="1:1" x14ac:dyDescent="0.2">
      <c r="A9" s="6" t="s">
        <v>153</v>
      </c>
    </row>
    <row r="10" spans="1:1" x14ac:dyDescent="0.2">
      <c r="A10" s="7" t="s">
        <v>183</v>
      </c>
    </row>
    <row r="11" spans="1:1" x14ac:dyDescent="0.2">
      <c r="A11" s="6" t="s">
        <v>159</v>
      </c>
    </row>
    <row r="12" spans="1:1" x14ac:dyDescent="0.2">
      <c r="A12" s="7" t="s">
        <v>215</v>
      </c>
    </row>
    <row r="13" spans="1:1" x14ac:dyDescent="0.2">
      <c r="A13" s="7" t="s">
        <v>228</v>
      </c>
    </row>
    <row r="14" spans="1:1" x14ac:dyDescent="0.2">
      <c r="A14" s="6" t="s">
        <v>133</v>
      </c>
    </row>
    <row r="15" spans="1:1" x14ac:dyDescent="0.2">
      <c r="A15" s="6" t="s">
        <v>252</v>
      </c>
    </row>
    <row r="16" spans="1:1" x14ac:dyDescent="0.2">
      <c r="A16" s="7" t="s">
        <v>256</v>
      </c>
    </row>
    <row r="17" spans="1:1" x14ac:dyDescent="0.2">
      <c r="A17" s="6" t="s">
        <v>258</v>
      </c>
    </row>
    <row r="18" spans="1:1" x14ac:dyDescent="0.2">
      <c r="A18" s="6" t="s">
        <v>263</v>
      </c>
    </row>
    <row r="19" spans="1:1" x14ac:dyDescent="0.2">
      <c r="A19" s="7" t="s">
        <v>266</v>
      </c>
    </row>
    <row r="20" spans="1:1" x14ac:dyDescent="0.2">
      <c r="A20" s="6" t="s">
        <v>53</v>
      </c>
    </row>
    <row r="21" spans="1:1" x14ac:dyDescent="0.2">
      <c r="A21" s="7" t="s">
        <v>293</v>
      </c>
    </row>
    <row r="22" spans="1:1" x14ac:dyDescent="0.2">
      <c r="A22" s="6" t="s">
        <v>295</v>
      </c>
    </row>
    <row r="23" spans="1:1" x14ac:dyDescent="0.2">
      <c r="A23" s="7" t="s">
        <v>297</v>
      </c>
    </row>
    <row r="24" spans="1:1" x14ac:dyDescent="0.2">
      <c r="A24" s="6" t="s">
        <v>299</v>
      </c>
    </row>
    <row r="25" spans="1:1" x14ac:dyDescent="0.2">
      <c r="A25" s="7" t="s">
        <v>302</v>
      </c>
    </row>
    <row r="26" spans="1:1" x14ac:dyDescent="0.2">
      <c r="A26" s="6" t="s">
        <v>305</v>
      </c>
    </row>
    <row r="27" spans="1:1" x14ac:dyDescent="0.2">
      <c r="A27" s="7" t="s">
        <v>308</v>
      </c>
    </row>
    <row r="28" spans="1:1" x14ac:dyDescent="0.2">
      <c r="A28" s="7" t="s">
        <v>323</v>
      </c>
    </row>
    <row r="29" spans="1:1" x14ac:dyDescent="0.2">
      <c r="A29" s="6" t="s">
        <v>327</v>
      </c>
    </row>
    <row r="32" spans="1:1" x14ac:dyDescent="0.2">
      <c r="A32" s="10" t="s">
        <v>379</v>
      </c>
    </row>
    <row r="34" spans="1:1" x14ac:dyDescent="0.2">
      <c r="A34" t="s">
        <v>460</v>
      </c>
    </row>
    <row r="36" spans="1:1" x14ac:dyDescent="0.2">
      <c r="A36" t="s">
        <v>461</v>
      </c>
    </row>
    <row r="38" spans="1:1" x14ac:dyDescent="0.2">
      <c r="A38" t="s">
        <v>462</v>
      </c>
    </row>
    <row r="40" spans="1:1" x14ac:dyDescent="0.2">
      <c r="A40" t="s">
        <v>463</v>
      </c>
    </row>
    <row r="42" spans="1:1" x14ac:dyDescent="0.2">
      <c r="A42" t="s">
        <v>464</v>
      </c>
    </row>
    <row r="44" spans="1:1" x14ac:dyDescent="0.2">
      <c r="A44" t="s">
        <v>465</v>
      </c>
    </row>
    <row r="46" spans="1:1" x14ac:dyDescent="0.2">
      <c r="A46" t="s">
        <v>466</v>
      </c>
    </row>
    <row r="48" spans="1:1" x14ac:dyDescent="0.2">
      <c r="A48" t="s">
        <v>467</v>
      </c>
    </row>
    <row r="50" spans="1:1" x14ac:dyDescent="0.2">
      <c r="A50" t="s">
        <v>468</v>
      </c>
    </row>
    <row r="52" spans="1:1" x14ac:dyDescent="0.2">
      <c r="A52" s="10" t="s">
        <v>392</v>
      </c>
    </row>
    <row r="54" spans="1:1" x14ac:dyDescent="0.2">
      <c r="A54" t="s">
        <v>469</v>
      </c>
    </row>
    <row r="56" spans="1:1" x14ac:dyDescent="0.2">
      <c r="A56" t="s">
        <v>470</v>
      </c>
    </row>
    <row r="58" spans="1:1" x14ac:dyDescent="0.2">
      <c r="A58" t="s">
        <v>471</v>
      </c>
    </row>
    <row r="60" spans="1:1" x14ac:dyDescent="0.2">
      <c r="A60" t="s">
        <v>472</v>
      </c>
    </row>
    <row r="62" spans="1:1" x14ac:dyDescent="0.2">
      <c r="A62" t="s">
        <v>473</v>
      </c>
    </row>
    <row r="64" spans="1:1" x14ac:dyDescent="0.2">
      <c r="A64" t="s">
        <v>474</v>
      </c>
    </row>
    <row r="66" spans="1:1" x14ac:dyDescent="0.2">
      <c r="A66" t="s">
        <v>475</v>
      </c>
    </row>
    <row r="68" spans="1:1" x14ac:dyDescent="0.2">
      <c r="A68" t="s">
        <v>476</v>
      </c>
    </row>
    <row r="70" spans="1:1" x14ac:dyDescent="0.2">
      <c r="A70" s="10" t="s">
        <v>487</v>
      </c>
    </row>
    <row r="72" spans="1:1" x14ac:dyDescent="0.2">
      <c r="A72" t="s">
        <v>477</v>
      </c>
    </row>
    <row r="74" spans="1:1" x14ac:dyDescent="0.2">
      <c r="A74" t="s">
        <v>478</v>
      </c>
    </row>
    <row r="76" spans="1:1" x14ac:dyDescent="0.2">
      <c r="A76" t="s">
        <v>479</v>
      </c>
    </row>
    <row r="78" spans="1:1" x14ac:dyDescent="0.2">
      <c r="A78" t="s">
        <v>480</v>
      </c>
    </row>
    <row r="80" spans="1:1" x14ac:dyDescent="0.2">
      <c r="A80" t="s">
        <v>481</v>
      </c>
    </row>
    <row r="82" spans="1:1" x14ac:dyDescent="0.2">
      <c r="A82" t="s">
        <v>482</v>
      </c>
    </row>
    <row r="84" spans="1:1" x14ac:dyDescent="0.2">
      <c r="A84" t="s">
        <v>483</v>
      </c>
    </row>
    <row r="86" spans="1:1" x14ac:dyDescent="0.2">
      <c r="A86" t="s">
        <v>484</v>
      </c>
    </row>
    <row r="88" spans="1:1" x14ac:dyDescent="0.2">
      <c r="A88" t="s">
        <v>485</v>
      </c>
    </row>
    <row r="89" spans="1:1" x14ac:dyDescent="0.2">
      <c r="A89" t="s">
        <v>486</v>
      </c>
    </row>
    <row r="91" spans="1:1" x14ac:dyDescent="0.2">
      <c r="A91" s="10" t="s">
        <v>420</v>
      </c>
    </row>
    <row r="93" spans="1:1" x14ac:dyDescent="0.2">
      <c r="A93" t="s">
        <v>488</v>
      </c>
    </row>
    <row r="95" spans="1:1" x14ac:dyDescent="0.2">
      <c r="A95" t="s">
        <v>489</v>
      </c>
    </row>
    <row r="97" spans="1:1" x14ac:dyDescent="0.2">
      <c r="A97" t="s">
        <v>490</v>
      </c>
    </row>
    <row r="99" spans="1:1" x14ac:dyDescent="0.2">
      <c r="A99" s="10" t="s">
        <v>425</v>
      </c>
    </row>
    <row r="101" spans="1:1" x14ac:dyDescent="0.2">
      <c r="A101" t="s">
        <v>491</v>
      </c>
    </row>
    <row r="103" spans="1:1" x14ac:dyDescent="0.2">
      <c r="A103" t="s">
        <v>492</v>
      </c>
    </row>
    <row r="105" spans="1:1" x14ac:dyDescent="0.2">
      <c r="A105" t="s">
        <v>493</v>
      </c>
    </row>
    <row r="107" spans="1:1" x14ac:dyDescent="0.2">
      <c r="A107" s="10" t="s">
        <v>429</v>
      </c>
    </row>
    <row r="109" spans="1:1" x14ac:dyDescent="0.2">
      <c r="A109" t="s">
        <v>494</v>
      </c>
    </row>
    <row r="111" spans="1:1" x14ac:dyDescent="0.2">
      <c r="A111" t="s">
        <v>495</v>
      </c>
    </row>
    <row r="113" spans="1:1" x14ac:dyDescent="0.2">
      <c r="A113" t="s">
        <v>496</v>
      </c>
    </row>
    <row r="115" spans="1:1" x14ac:dyDescent="0.2">
      <c r="A115" t="s">
        <v>497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6"/>
  <sheetViews>
    <sheetView workbookViewId="0">
      <selection activeCell="D18" sqref="D18"/>
    </sheetView>
  </sheetViews>
  <sheetFormatPr defaultRowHeight="12.75" x14ac:dyDescent="0.2"/>
  <cols>
    <col min="1" max="1" width="126.28515625" customWidth="1"/>
  </cols>
  <sheetData>
    <row r="1" spans="1:1" x14ac:dyDescent="0.2">
      <c r="A1" s="10" t="s">
        <v>498</v>
      </c>
    </row>
    <row r="3" spans="1:1" x14ac:dyDescent="0.2">
      <c r="A3" s="7" t="s">
        <v>69</v>
      </c>
    </row>
    <row r="4" spans="1:1" x14ac:dyDescent="0.2">
      <c r="A4" s="6" t="s">
        <v>83</v>
      </c>
    </row>
    <row r="5" spans="1:1" x14ac:dyDescent="0.2">
      <c r="A5" s="6" t="s">
        <v>93</v>
      </c>
    </row>
    <row r="6" spans="1:1" x14ac:dyDescent="0.2">
      <c r="A6" s="7" t="s">
        <v>96</v>
      </c>
    </row>
    <row r="7" spans="1:1" x14ac:dyDescent="0.2">
      <c r="A7" s="6" t="s">
        <v>104</v>
      </c>
    </row>
    <row r="8" spans="1:1" x14ac:dyDescent="0.2">
      <c r="A8" s="6" t="s">
        <v>128</v>
      </c>
    </row>
    <row r="9" spans="1:1" x14ac:dyDescent="0.2">
      <c r="A9" s="6" t="s">
        <v>154</v>
      </c>
    </row>
    <row r="10" spans="1:1" x14ac:dyDescent="0.2">
      <c r="A10" s="7" t="s">
        <v>184</v>
      </c>
    </row>
    <row r="11" spans="1:1" x14ac:dyDescent="0.2">
      <c r="A11" s="6" t="s">
        <v>200</v>
      </c>
    </row>
    <row r="12" spans="1:1" x14ac:dyDescent="0.2">
      <c r="A12" s="7" t="s">
        <v>216</v>
      </c>
    </row>
    <row r="13" spans="1:1" x14ac:dyDescent="0.2">
      <c r="A13" s="7" t="s">
        <v>229</v>
      </c>
    </row>
    <row r="14" spans="1:1" x14ac:dyDescent="0.2">
      <c r="A14" s="6" t="s">
        <v>156</v>
      </c>
    </row>
    <row r="15" spans="1:1" x14ac:dyDescent="0.2">
      <c r="A15" s="6" t="s">
        <v>159</v>
      </c>
    </row>
    <row r="16" spans="1:1" x14ac:dyDescent="0.2">
      <c r="A16" s="7" t="s">
        <v>156</v>
      </c>
    </row>
    <row r="17" spans="1:1" x14ac:dyDescent="0.2">
      <c r="A17" s="6" t="s">
        <v>259</v>
      </c>
    </row>
    <row r="18" spans="1:1" x14ac:dyDescent="0.2">
      <c r="A18" s="6" t="s">
        <v>264</v>
      </c>
    </row>
    <row r="19" spans="1:1" x14ac:dyDescent="0.2">
      <c r="A19" s="7" t="s">
        <v>267</v>
      </c>
    </row>
    <row r="20" spans="1:1" x14ac:dyDescent="0.2">
      <c r="A20" s="6" t="s">
        <v>53</v>
      </c>
    </row>
    <row r="21" spans="1:1" x14ac:dyDescent="0.2">
      <c r="A21" s="7" t="s">
        <v>294</v>
      </c>
    </row>
    <row r="22" spans="1:1" x14ac:dyDescent="0.2">
      <c r="A22" s="6" t="s">
        <v>83</v>
      </c>
    </row>
    <row r="23" spans="1:1" x14ac:dyDescent="0.2">
      <c r="A23" s="7" t="s">
        <v>298</v>
      </c>
    </row>
    <row r="24" spans="1:1" x14ac:dyDescent="0.2">
      <c r="A24" s="6" t="s">
        <v>300</v>
      </c>
    </row>
    <row r="25" spans="1:1" x14ac:dyDescent="0.2">
      <c r="A25" s="7" t="s">
        <v>303</v>
      </c>
    </row>
    <row r="26" spans="1:1" x14ac:dyDescent="0.2">
      <c r="A26" s="6" t="s">
        <v>306</v>
      </c>
    </row>
    <row r="27" spans="1:1" x14ac:dyDescent="0.2">
      <c r="A27" s="7" t="s">
        <v>309</v>
      </c>
    </row>
    <row r="28" spans="1:1" x14ac:dyDescent="0.2">
      <c r="A28" s="7" t="s">
        <v>325</v>
      </c>
    </row>
    <row r="29" spans="1:1" x14ac:dyDescent="0.2">
      <c r="A29" s="6" t="s">
        <v>328</v>
      </c>
    </row>
    <row r="33" spans="1:1" x14ac:dyDescent="0.2">
      <c r="A33" s="10" t="s">
        <v>507</v>
      </c>
    </row>
    <row r="35" spans="1:1" x14ac:dyDescent="0.2">
      <c r="A35" t="s">
        <v>499</v>
      </c>
    </row>
    <row r="37" spans="1:1" x14ac:dyDescent="0.2">
      <c r="A37" t="s">
        <v>500</v>
      </c>
    </row>
    <row r="39" spans="1:1" x14ac:dyDescent="0.2">
      <c r="A39" t="s">
        <v>501</v>
      </c>
    </row>
    <row r="41" spans="1:1" x14ac:dyDescent="0.2">
      <c r="A41" t="s">
        <v>502</v>
      </c>
    </row>
    <row r="43" spans="1:1" x14ac:dyDescent="0.2">
      <c r="A43" t="s">
        <v>503</v>
      </c>
    </row>
    <row r="45" spans="1:1" x14ac:dyDescent="0.2">
      <c r="A45" t="s">
        <v>504</v>
      </c>
    </row>
    <row r="47" spans="1:1" x14ac:dyDescent="0.2">
      <c r="A47" t="s">
        <v>505</v>
      </c>
    </row>
    <row r="49" spans="1:1" x14ac:dyDescent="0.2">
      <c r="A49" t="s">
        <v>506</v>
      </c>
    </row>
    <row r="51" spans="1:1" x14ac:dyDescent="0.2">
      <c r="A51" t="s">
        <v>508</v>
      </c>
    </row>
    <row r="53" spans="1:1" x14ac:dyDescent="0.2">
      <c r="A53" s="10" t="s">
        <v>392</v>
      </c>
    </row>
    <row r="55" spans="1:1" x14ac:dyDescent="0.2">
      <c r="A55" t="s">
        <v>513</v>
      </c>
    </row>
    <row r="57" spans="1:1" x14ac:dyDescent="0.2">
      <c r="A57" t="s">
        <v>509</v>
      </c>
    </row>
    <row r="59" spans="1:1" x14ac:dyDescent="0.2">
      <c r="A59" t="s">
        <v>510</v>
      </c>
    </row>
    <row r="61" spans="1:1" x14ac:dyDescent="0.2">
      <c r="A61" t="s">
        <v>511</v>
      </c>
    </row>
    <row r="63" spans="1:1" x14ac:dyDescent="0.2">
      <c r="A63" t="s">
        <v>512</v>
      </c>
    </row>
    <row r="65" spans="1:1" x14ac:dyDescent="0.2">
      <c r="A65" t="s">
        <v>514</v>
      </c>
    </row>
    <row r="67" spans="1:1" x14ac:dyDescent="0.2">
      <c r="A67" t="s">
        <v>515</v>
      </c>
    </row>
    <row r="69" spans="1:1" x14ac:dyDescent="0.2">
      <c r="A69" t="s">
        <v>516</v>
      </c>
    </row>
    <row r="71" spans="1:1" x14ac:dyDescent="0.2">
      <c r="A71" t="s">
        <v>517</v>
      </c>
    </row>
    <row r="73" spans="1:1" x14ac:dyDescent="0.2">
      <c r="A73" s="10" t="s">
        <v>518</v>
      </c>
    </row>
    <row r="75" spans="1:1" x14ac:dyDescent="0.2">
      <c r="A75" t="s">
        <v>519</v>
      </c>
    </row>
    <row r="77" spans="1:1" x14ac:dyDescent="0.2">
      <c r="A77" t="s">
        <v>520</v>
      </c>
    </row>
    <row r="79" spans="1:1" x14ac:dyDescent="0.2">
      <c r="A79" t="s">
        <v>521</v>
      </c>
    </row>
    <row r="81" spans="1:1" x14ac:dyDescent="0.2">
      <c r="A81" t="s">
        <v>522</v>
      </c>
    </row>
    <row r="83" spans="1:1" x14ac:dyDescent="0.2">
      <c r="A83" t="s">
        <v>523</v>
      </c>
    </row>
    <row r="85" spans="1:1" x14ac:dyDescent="0.2">
      <c r="A85" t="s">
        <v>524</v>
      </c>
    </row>
    <row r="87" spans="1:1" x14ac:dyDescent="0.2">
      <c r="A87" t="s">
        <v>525</v>
      </c>
    </row>
    <row r="89" spans="1:1" x14ac:dyDescent="0.2">
      <c r="A89" t="s">
        <v>526</v>
      </c>
    </row>
    <row r="91" spans="1:1" x14ac:dyDescent="0.2">
      <c r="A91" t="s">
        <v>527</v>
      </c>
    </row>
    <row r="93" spans="1:1" x14ac:dyDescent="0.2">
      <c r="A93" t="s">
        <v>528</v>
      </c>
    </row>
    <row r="94" spans="1:1" x14ac:dyDescent="0.2">
      <c r="A94" t="s">
        <v>529</v>
      </c>
    </row>
    <row r="96" spans="1:1" x14ac:dyDescent="0.2">
      <c r="A96" s="10" t="s">
        <v>420</v>
      </c>
    </row>
    <row r="98" spans="1:1" x14ac:dyDescent="0.2">
      <c r="A98" t="s">
        <v>530</v>
      </c>
    </row>
    <row r="100" spans="1:1" x14ac:dyDescent="0.2">
      <c r="A100" t="s">
        <v>531</v>
      </c>
    </row>
    <row r="102" spans="1:1" x14ac:dyDescent="0.2">
      <c r="A102" t="s">
        <v>532</v>
      </c>
    </row>
    <row r="104" spans="1:1" x14ac:dyDescent="0.2">
      <c r="A104" s="10" t="s">
        <v>425</v>
      </c>
    </row>
    <row r="106" spans="1:1" x14ac:dyDescent="0.2">
      <c r="A106" t="s">
        <v>533</v>
      </c>
    </row>
    <row r="108" spans="1:1" x14ac:dyDescent="0.2">
      <c r="A108" t="s">
        <v>534</v>
      </c>
    </row>
    <row r="110" spans="1:1" x14ac:dyDescent="0.2">
      <c r="A110" t="s">
        <v>535</v>
      </c>
    </row>
    <row r="112" spans="1:1" x14ac:dyDescent="0.2">
      <c r="A112" s="10" t="s">
        <v>429</v>
      </c>
    </row>
    <row r="114" spans="1:1" x14ac:dyDescent="0.2">
      <c r="A114" s="8" t="s">
        <v>536</v>
      </c>
    </row>
    <row r="116" spans="1:1" x14ac:dyDescent="0.2">
      <c r="A116" t="s">
        <v>537</v>
      </c>
    </row>
    <row r="118" spans="1:1" x14ac:dyDescent="0.2">
      <c r="A118" t="s">
        <v>538</v>
      </c>
    </row>
    <row r="120" spans="1:1" x14ac:dyDescent="0.2">
      <c r="A120" t="s">
        <v>539</v>
      </c>
    </row>
    <row r="122" spans="1:1" x14ac:dyDescent="0.2">
      <c r="A122" t="s">
        <v>540</v>
      </c>
    </row>
    <row r="124" spans="1:1" x14ac:dyDescent="0.2">
      <c r="A124" t="s">
        <v>541</v>
      </c>
    </row>
    <row r="126" spans="1:1" x14ac:dyDescent="0.2">
      <c r="A126" t="s">
        <v>542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1"/>
  <sheetViews>
    <sheetView workbookViewId="0">
      <selection activeCell="F27" sqref="F27"/>
    </sheetView>
  </sheetViews>
  <sheetFormatPr defaultRowHeight="12.75" x14ac:dyDescent="0.2"/>
  <cols>
    <col min="1" max="1" width="65.7109375" customWidth="1"/>
  </cols>
  <sheetData>
    <row r="1" spans="1:1" x14ac:dyDescent="0.2">
      <c r="A1" s="8" t="s">
        <v>543</v>
      </c>
    </row>
    <row r="3" spans="1:1" x14ac:dyDescent="0.2">
      <c r="A3" s="6" t="s">
        <v>41</v>
      </c>
    </row>
    <row r="4" spans="1:1" x14ac:dyDescent="0.2">
      <c r="A4" s="6" t="s">
        <v>51</v>
      </c>
    </row>
    <row r="5" spans="1:1" x14ac:dyDescent="0.2">
      <c r="A5" s="7" t="s">
        <v>55</v>
      </c>
    </row>
    <row r="6" spans="1:1" x14ac:dyDescent="0.2">
      <c r="A6" s="6" t="s">
        <v>59</v>
      </c>
    </row>
    <row r="7" spans="1:1" x14ac:dyDescent="0.2">
      <c r="A7" s="7" t="s">
        <v>62</v>
      </c>
    </row>
    <row r="8" spans="1:1" x14ac:dyDescent="0.2">
      <c r="A8" s="6" t="s">
        <v>65</v>
      </c>
    </row>
    <row r="9" spans="1:1" x14ac:dyDescent="0.2">
      <c r="A9" s="6" t="s">
        <v>46</v>
      </c>
    </row>
    <row r="10" spans="1:1" x14ac:dyDescent="0.2">
      <c r="A10" s="7" t="s">
        <v>73</v>
      </c>
    </row>
    <row r="11" spans="1:1" x14ac:dyDescent="0.2">
      <c r="A11" s="6" t="s">
        <v>75</v>
      </c>
    </row>
    <row r="12" spans="1:1" x14ac:dyDescent="0.2">
      <c r="A12" s="7" t="s">
        <v>77</v>
      </c>
    </row>
    <row r="13" spans="1:1" x14ac:dyDescent="0.2">
      <c r="A13" s="7" t="s">
        <v>101</v>
      </c>
    </row>
    <row r="14" spans="1:1" x14ac:dyDescent="0.2">
      <c r="A14" s="6" t="s">
        <v>117</v>
      </c>
    </row>
    <row r="15" spans="1:1" x14ac:dyDescent="0.2">
      <c r="A15" s="7" t="s">
        <v>120</v>
      </c>
    </row>
    <row r="16" spans="1:1" x14ac:dyDescent="0.2">
      <c r="A16" s="6" t="s">
        <v>122</v>
      </c>
    </row>
    <row r="17" spans="1:1" x14ac:dyDescent="0.2">
      <c r="A17" s="6" t="s">
        <v>133</v>
      </c>
    </row>
    <row r="18" spans="1:1" x14ac:dyDescent="0.2">
      <c r="A18" s="7" t="s">
        <v>135</v>
      </c>
    </row>
    <row r="19" spans="1:1" x14ac:dyDescent="0.2">
      <c r="A19" s="6" t="s">
        <v>137</v>
      </c>
    </row>
    <row r="20" spans="1:1" x14ac:dyDescent="0.2">
      <c r="A20" s="6" t="s">
        <v>141</v>
      </c>
    </row>
    <row r="21" spans="1:1" x14ac:dyDescent="0.2">
      <c r="A21" s="6" t="s">
        <v>147</v>
      </c>
    </row>
    <row r="22" spans="1:1" x14ac:dyDescent="0.2">
      <c r="A22" s="7" t="s">
        <v>148</v>
      </c>
    </row>
    <row r="23" spans="1:1" x14ac:dyDescent="0.2">
      <c r="A23" s="6" t="s">
        <v>150</v>
      </c>
    </row>
    <row r="24" spans="1:1" x14ac:dyDescent="0.2">
      <c r="A24" s="7" t="s">
        <v>152</v>
      </c>
    </row>
    <row r="25" spans="1:1" x14ac:dyDescent="0.2">
      <c r="A25" s="6" t="s">
        <v>177</v>
      </c>
    </row>
    <row r="26" spans="1:1" x14ac:dyDescent="0.2">
      <c r="A26" s="6" t="s">
        <v>187</v>
      </c>
    </row>
    <row r="27" spans="1:1" x14ac:dyDescent="0.2">
      <c r="A27" s="6" t="s">
        <v>194</v>
      </c>
    </row>
    <row r="28" spans="1:1" x14ac:dyDescent="0.2">
      <c r="A28" s="7" t="s">
        <v>202</v>
      </c>
    </row>
    <row r="29" spans="1:1" x14ac:dyDescent="0.2">
      <c r="A29" s="7" t="s">
        <v>206</v>
      </c>
    </row>
    <row r="30" spans="1:1" x14ac:dyDescent="0.2">
      <c r="A30" s="6" t="s">
        <v>213</v>
      </c>
    </row>
    <row r="31" spans="1:1" x14ac:dyDescent="0.2">
      <c r="A31" s="6" t="s">
        <v>218</v>
      </c>
    </row>
    <row r="32" spans="1:1" x14ac:dyDescent="0.2">
      <c r="A32" s="6" t="s">
        <v>226</v>
      </c>
    </row>
    <row r="33" spans="1:1" x14ac:dyDescent="0.2">
      <c r="A33" s="6" t="s">
        <v>231</v>
      </c>
    </row>
    <row r="34" spans="1:1" x14ac:dyDescent="0.2">
      <c r="A34" s="7" t="s">
        <v>237</v>
      </c>
    </row>
    <row r="35" spans="1:1" x14ac:dyDescent="0.2">
      <c r="A35" s="6" t="s">
        <v>239</v>
      </c>
    </row>
    <row r="36" spans="1:1" x14ac:dyDescent="0.2">
      <c r="A36" s="6" t="s">
        <v>243</v>
      </c>
    </row>
    <row r="37" spans="1:1" x14ac:dyDescent="0.2">
      <c r="A37" s="6" t="s">
        <v>248</v>
      </c>
    </row>
    <row r="38" spans="1:1" x14ac:dyDescent="0.2">
      <c r="A38" s="7" t="s">
        <v>250</v>
      </c>
    </row>
    <row r="39" spans="1:1" x14ac:dyDescent="0.2">
      <c r="A39" s="7" t="s">
        <v>159</v>
      </c>
    </row>
    <row r="40" spans="1:1" x14ac:dyDescent="0.2">
      <c r="A40" s="6" t="s">
        <v>254</v>
      </c>
    </row>
    <row r="41" spans="1:1" x14ac:dyDescent="0.2">
      <c r="A41" s="7" t="s">
        <v>261</v>
      </c>
    </row>
    <row r="42" spans="1:1" x14ac:dyDescent="0.2">
      <c r="A42" s="7" t="s">
        <v>271</v>
      </c>
    </row>
    <row r="43" spans="1:1" x14ac:dyDescent="0.2">
      <c r="A43" s="7" t="s">
        <v>281</v>
      </c>
    </row>
    <row r="44" spans="1:1" x14ac:dyDescent="0.2">
      <c r="A44" s="6" t="s">
        <v>283</v>
      </c>
    </row>
    <row r="45" spans="1:1" x14ac:dyDescent="0.2">
      <c r="A45" s="7" t="s">
        <v>289</v>
      </c>
    </row>
    <row r="46" spans="1:1" x14ac:dyDescent="0.2">
      <c r="A46" s="6" t="s">
        <v>159</v>
      </c>
    </row>
    <row r="47" spans="1:1" x14ac:dyDescent="0.2">
      <c r="A47" s="7" t="s">
        <v>310</v>
      </c>
    </row>
    <row r="48" spans="1:1" x14ac:dyDescent="0.2">
      <c r="A48" s="6" t="s">
        <v>317</v>
      </c>
    </row>
    <row r="49" spans="1:1" x14ac:dyDescent="0.2">
      <c r="A49" s="7" t="s">
        <v>319</v>
      </c>
    </row>
    <row r="50" spans="1:1" x14ac:dyDescent="0.2">
      <c r="A50" s="9" t="s">
        <v>333</v>
      </c>
    </row>
    <row r="53" spans="1:1" x14ac:dyDescent="0.2">
      <c r="A53" t="s">
        <v>379</v>
      </c>
    </row>
    <row r="55" spans="1:1" x14ac:dyDescent="0.2">
      <c r="A55" t="s">
        <v>544</v>
      </c>
    </row>
    <row r="57" spans="1:1" x14ac:dyDescent="0.2">
      <c r="A57" t="s">
        <v>545</v>
      </c>
    </row>
    <row r="59" spans="1:1" x14ac:dyDescent="0.2">
      <c r="A59" t="s">
        <v>546</v>
      </c>
    </row>
    <row r="61" spans="1:1" x14ac:dyDescent="0.2">
      <c r="A61" t="s">
        <v>547</v>
      </c>
    </row>
    <row r="63" spans="1:1" x14ac:dyDescent="0.2">
      <c r="A63" t="s">
        <v>548</v>
      </c>
    </row>
    <row r="65" spans="1:1" x14ac:dyDescent="0.2">
      <c r="A65" t="s">
        <v>549</v>
      </c>
    </row>
    <row r="67" spans="1:1" x14ac:dyDescent="0.2">
      <c r="A67" t="s">
        <v>550</v>
      </c>
    </row>
    <row r="69" spans="1:1" x14ac:dyDescent="0.2">
      <c r="A69" t="s">
        <v>551</v>
      </c>
    </row>
    <row r="71" spans="1:1" x14ac:dyDescent="0.2">
      <c r="A71" t="s">
        <v>552</v>
      </c>
    </row>
    <row r="74" spans="1:1" x14ac:dyDescent="0.2">
      <c r="A74" s="10" t="s">
        <v>392</v>
      </c>
    </row>
    <row r="76" spans="1:1" x14ac:dyDescent="0.2">
      <c r="A76" t="s">
        <v>560</v>
      </c>
    </row>
    <row r="78" spans="1:1" x14ac:dyDescent="0.2">
      <c r="A78" t="s">
        <v>553</v>
      </c>
    </row>
    <row r="80" spans="1:1" x14ac:dyDescent="0.2">
      <c r="A80" t="s">
        <v>554</v>
      </c>
    </row>
    <row r="82" spans="1:1" x14ac:dyDescent="0.2">
      <c r="A82" t="s">
        <v>555</v>
      </c>
    </row>
    <row r="84" spans="1:1" x14ac:dyDescent="0.2">
      <c r="A84" t="s">
        <v>556</v>
      </c>
    </row>
    <row r="86" spans="1:1" x14ac:dyDescent="0.2">
      <c r="A86" t="s">
        <v>557</v>
      </c>
    </row>
    <row r="88" spans="1:1" x14ac:dyDescent="0.2">
      <c r="A88" t="s">
        <v>558</v>
      </c>
    </row>
    <row r="90" spans="1:1" x14ac:dyDescent="0.2">
      <c r="A90" t="s">
        <v>559</v>
      </c>
    </row>
    <row r="92" spans="1:1" x14ac:dyDescent="0.2">
      <c r="A92" t="s">
        <v>561</v>
      </c>
    </row>
    <row r="94" spans="1:1" x14ac:dyDescent="0.2">
      <c r="A94" s="10" t="s">
        <v>572</v>
      </c>
    </row>
    <row r="96" spans="1:1" x14ac:dyDescent="0.2">
      <c r="A96" s="8" t="s">
        <v>573</v>
      </c>
    </row>
    <row r="98" spans="1:1" x14ac:dyDescent="0.2">
      <c r="A98" t="s">
        <v>562</v>
      </c>
    </row>
    <row r="100" spans="1:1" x14ac:dyDescent="0.2">
      <c r="A100" t="s">
        <v>563</v>
      </c>
    </row>
    <row r="102" spans="1:1" x14ac:dyDescent="0.2">
      <c r="A102" t="s">
        <v>564</v>
      </c>
    </row>
    <row r="104" spans="1:1" x14ac:dyDescent="0.2">
      <c r="A104" t="s">
        <v>565</v>
      </c>
    </row>
    <row r="106" spans="1:1" x14ac:dyDescent="0.2">
      <c r="A106" t="s">
        <v>566</v>
      </c>
    </row>
    <row r="108" spans="1:1" x14ac:dyDescent="0.2">
      <c r="A108" t="s">
        <v>567</v>
      </c>
    </row>
    <row r="110" spans="1:1" x14ac:dyDescent="0.2">
      <c r="A110" t="s">
        <v>568</v>
      </c>
    </row>
    <row r="112" spans="1:1" x14ac:dyDescent="0.2">
      <c r="A112" t="s">
        <v>569</v>
      </c>
    </row>
    <row r="114" spans="1:1" x14ac:dyDescent="0.2">
      <c r="A114" t="s">
        <v>570</v>
      </c>
    </row>
    <row r="115" spans="1:1" x14ac:dyDescent="0.2">
      <c r="A115" t="s">
        <v>571</v>
      </c>
    </row>
    <row r="117" spans="1:1" x14ac:dyDescent="0.2">
      <c r="A117" s="10" t="s">
        <v>420</v>
      </c>
    </row>
    <row r="119" spans="1:1" x14ac:dyDescent="0.2">
      <c r="A119" t="s">
        <v>574</v>
      </c>
    </row>
    <row r="121" spans="1:1" x14ac:dyDescent="0.2">
      <c r="A121" t="s">
        <v>575</v>
      </c>
    </row>
    <row r="123" spans="1:1" x14ac:dyDescent="0.2">
      <c r="A123" t="s">
        <v>576</v>
      </c>
    </row>
    <row r="125" spans="1:1" x14ac:dyDescent="0.2">
      <c r="A125" t="s">
        <v>577</v>
      </c>
    </row>
    <row r="127" spans="1:1" x14ac:dyDescent="0.2">
      <c r="A127" s="10" t="s">
        <v>425</v>
      </c>
    </row>
    <row r="129" spans="1:1" x14ac:dyDescent="0.2">
      <c r="A129" t="s">
        <v>578</v>
      </c>
    </row>
    <row r="131" spans="1:1" x14ac:dyDescent="0.2">
      <c r="A131" t="s">
        <v>579</v>
      </c>
    </row>
    <row r="133" spans="1:1" x14ac:dyDescent="0.2">
      <c r="A133" t="s">
        <v>580</v>
      </c>
    </row>
    <row r="135" spans="1:1" x14ac:dyDescent="0.2">
      <c r="A135" t="s">
        <v>581</v>
      </c>
    </row>
    <row r="137" spans="1:1" x14ac:dyDescent="0.2">
      <c r="A137" s="10" t="s">
        <v>429</v>
      </c>
    </row>
    <row r="139" spans="1:1" x14ac:dyDescent="0.2">
      <c r="A139" t="s">
        <v>582</v>
      </c>
    </row>
    <row r="141" spans="1:1" x14ac:dyDescent="0.2">
      <c r="A141" t="s">
        <v>583</v>
      </c>
    </row>
    <row r="143" spans="1:1" x14ac:dyDescent="0.2">
      <c r="A143" t="s">
        <v>584</v>
      </c>
    </row>
    <row r="145" spans="1:1" x14ac:dyDescent="0.2">
      <c r="A145" t="s">
        <v>585</v>
      </c>
    </row>
    <row r="147" spans="1:1" x14ac:dyDescent="0.2">
      <c r="A147" t="s">
        <v>586</v>
      </c>
    </row>
    <row r="149" spans="1:1" x14ac:dyDescent="0.2">
      <c r="A149" t="s">
        <v>587</v>
      </c>
    </row>
    <row r="151" spans="1:1" x14ac:dyDescent="0.2">
      <c r="A151" t="s">
        <v>588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7"/>
  <sheetViews>
    <sheetView workbookViewId="0">
      <selection activeCell="H120" sqref="H120"/>
    </sheetView>
  </sheetViews>
  <sheetFormatPr defaultRowHeight="12.75" x14ac:dyDescent="0.2"/>
  <cols>
    <col min="1" max="1" width="60.140625" customWidth="1"/>
  </cols>
  <sheetData>
    <row r="1" spans="1:1" x14ac:dyDescent="0.2">
      <c r="A1" s="8" t="s">
        <v>589</v>
      </c>
    </row>
    <row r="3" spans="1:1" x14ac:dyDescent="0.2">
      <c r="A3" s="15" t="s">
        <v>48</v>
      </c>
    </row>
    <row r="4" spans="1:1" x14ac:dyDescent="0.2">
      <c r="A4" s="15" t="s">
        <v>89</v>
      </c>
    </row>
    <row r="5" spans="1:1" x14ac:dyDescent="0.2">
      <c r="A5" s="14" t="s">
        <v>99</v>
      </c>
    </row>
    <row r="6" spans="1:1" x14ac:dyDescent="0.2">
      <c r="A6" s="15" t="s">
        <v>106</v>
      </c>
    </row>
    <row r="7" spans="1:1" x14ac:dyDescent="0.2">
      <c r="A7" s="14" t="s">
        <v>111</v>
      </c>
    </row>
    <row r="8" spans="1:1" x14ac:dyDescent="0.2">
      <c r="A8" s="15" t="s">
        <v>115</v>
      </c>
    </row>
    <row r="9" spans="1:1" x14ac:dyDescent="0.2">
      <c r="A9" s="15" t="s">
        <v>36</v>
      </c>
    </row>
    <row r="10" spans="1:1" x14ac:dyDescent="0.2">
      <c r="A10" s="15" t="s">
        <v>131</v>
      </c>
    </row>
    <row r="11" spans="1:1" x14ac:dyDescent="0.2">
      <c r="A11" s="15" t="s">
        <v>139</v>
      </c>
    </row>
    <row r="12" spans="1:1" x14ac:dyDescent="0.2">
      <c r="A12" s="15" t="s">
        <v>144</v>
      </c>
    </row>
    <row r="13" spans="1:1" x14ac:dyDescent="0.2">
      <c r="A13" s="14" t="s">
        <v>161</v>
      </c>
    </row>
    <row r="14" spans="1:1" x14ac:dyDescent="0.2">
      <c r="A14" s="15" t="s">
        <v>164</v>
      </c>
    </row>
    <row r="15" spans="1:1" x14ac:dyDescent="0.2">
      <c r="A15" s="15" t="s">
        <v>169</v>
      </c>
    </row>
    <row r="16" spans="1:1" x14ac:dyDescent="0.2">
      <c r="A16" s="14" t="s">
        <v>171</v>
      </c>
    </row>
    <row r="17" spans="1:1" x14ac:dyDescent="0.2">
      <c r="A17" s="15" t="s">
        <v>35</v>
      </c>
    </row>
    <row r="18" spans="1:1" x14ac:dyDescent="0.2">
      <c r="A18" s="15" t="s">
        <v>179</v>
      </c>
    </row>
    <row r="19" spans="1:1" x14ac:dyDescent="0.2">
      <c r="A19" s="15" t="s">
        <v>189</v>
      </c>
    </row>
    <row r="20" spans="1:1" x14ac:dyDescent="0.2">
      <c r="A20" s="14" t="s">
        <v>191</v>
      </c>
    </row>
    <row r="21" spans="1:1" x14ac:dyDescent="0.2">
      <c r="A21" s="15" t="s">
        <v>193</v>
      </c>
    </row>
    <row r="22" spans="1:1" x14ac:dyDescent="0.2">
      <c r="A22" s="15" t="s">
        <v>198</v>
      </c>
    </row>
    <row r="23" spans="1:1" x14ac:dyDescent="0.2">
      <c r="A23" s="14" t="s">
        <v>204</v>
      </c>
    </row>
    <row r="24" spans="1:1" x14ac:dyDescent="0.2">
      <c r="A24" s="15" t="s">
        <v>212</v>
      </c>
    </row>
    <row r="25" spans="1:1" x14ac:dyDescent="0.2">
      <c r="A25" s="15" t="s">
        <v>224</v>
      </c>
    </row>
    <row r="26" spans="1:1" x14ac:dyDescent="0.2">
      <c r="A26" s="14" t="s">
        <v>235</v>
      </c>
    </row>
    <row r="27" spans="1:1" x14ac:dyDescent="0.2">
      <c r="A27" s="15" t="s">
        <v>240</v>
      </c>
    </row>
    <row r="28" spans="1:1" x14ac:dyDescent="0.2">
      <c r="A28" s="15" t="s">
        <v>111</v>
      </c>
    </row>
    <row r="29" spans="1:1" x14ac:dyDescent="0.2">
      <c r="A29" s="15" t="s">
        <v>133</v>
      </c>
    </row>
    <row r="30" spans="1:1" x14ac:dyDescent="0.2">
      <c r="A30" s="14" t="s">
        <v>274</v>
      </c>
    </row>
    <row r="31" spans="1:1" x14ac:dyDescent="0.2">
      <c r="A31" s="15" t="s">
        <v>277</v>
      </c>
    </row>
    <row r="32" spans="1:1" x14ac:dyDescent="0.2">
      <c r="A32" s="14" t="s">
        <v>287</v>
      </c>
    </row>
    <row r="33" spans="1:1" x14ac:dyDescent="0.2">
      <c r="A33" s="14" t="s">
        <v>313</v>
      </c>
    </row>
    <row r="34" spans="1:1" x14ac:dyDescent="0.2">
      <c r="A34" s="15" t="s">
        <v>315</v>
      </c>
    </row>
    <row r="35" spans="1:1" x14ac:dyDescent="0.2">
      <c r="A35" s="15" t="s">
        <v>330</v>
      </c>
    </row>
    <row r="38" spans="1:1" x14ac:dyDescent="0.2">
      <c r="A38" s="10" t="s">
        <v>598</v>
      </c>
    </row>
    <row r="40" spans="1:1" x14ac:dyDescent="0.2">
      <c r="A40" s="8" t="s">
        <v>599</v>
      </c>
    </row>
    <row r="42" spans="1:1" x14ac:dyDescent="0.2">
      <c r="A42" t="s">
        <v>590</v>
      </c>
    </row>
    <row r="44" spans="1:1" x14ac:dyDescent="0.2">
      <c r="A44" t="s">
        <v>591</v>
      </c>
    </row>
    <row r="46" spans="1:1" x14ac:dyDescent="0.2">
      <c r="A46" t="s">
        <v>592</v>
      </c>
    </row>
    <row r="48" spans="1:1" x14ac:dyDescent="0.2">
      <c r="A48" t="s">
        <v>593</v>
      </c>
    </row>
    <row r="50" spans="1:1" x14ac:dyDescent="0.2">
      <c r="A50" t="s">
        <v>594</v>
      </c>
    </row>
    <row r="52" spans="1:1" x14ac:dyDescent="0.2">
      <c r="A52" t="s">
        <v>595</v>
      </c>
    </row>
    <row r="54" spans="1:1" x14ac:dyDescent="0.2">
      <c r="A54" t="s">
        <v>596</v>
      </c>
    </row>
    <row r="56" spans="1:1" x14ac:dyDescent="0.2">
      <c r="A56" t="s">
        <v>597</v>
      </c>
    </row>
    <row r="58" spans="1:1" x14ac:dyDescent="0.2">
      <c r="A58" s="10" t="s">
        <v>392</v>
      </c>
    </row>
    <row r="60" spans="1:1" x14ac:dyDescent="0.2">
      <c r="A60" t="s">
        <v>600</v>
      </c>
    </row>
    <row r="62" spans="1:1" x14ac:dyDescent="0.2">
      <c r="A62" t="s">
        <v>601</v>
      </c>
    </row>
    <row r="64" spans="1:1" x14ac:dyDescent="0.2">
      <c r="A64" t="s">
        <v>602</v>
      </c>
    </row>
    <row r="66" spans="1:1" x14ac:dyDescent="0.2">
      <c r="A66" t="s">
        <v>603</v>
      </c>
    </row>
    <row r="68" spans="1:1" x14ac:dyDescent="0.2">
      <c r="A68" t="s">
        <v>604</v>
      </c>
    </row>
    <row r="70" spans="1:1" x14ac:dyDescent="0.2">
      <c r="A70" t="s">
        <v>605</v>
      </c>
    </row>
    <row r="72" spans="1:1" x14ac:dyDescent="0.2">
      <c r="A72" t="s">
        <v>606</v>
      </c>
    </row>
    <row r="74" spans="1:1" x14ac:dyDescent="0.2">
      <c r="A74" t="s">
        <v>607</v>
      </c>
    </row>
    <row r="76" spans="1:1" x14ac:dyDescent="0.2">
      <c r="A76" t="s">
        <v>608</v>
      </c>
    </row>
    <row r="78" spans="1:1" x14ac:dyDescent="0.2">
      <c r="A78" s="10" t="s">
        <v>619</v>
      </c>
    </row>
    <row r="80" spans="1:1" x14ac:dyDescent="0.2">
      <c r="A80" s="8" t="s">
        <v>620</v>
      </c>
    </row>
    <row r="82" spans="1:1" x14ac:dyDescent="0.2">
      <c r="A82" t="s">
        <v>609</v>
      </c>
    </row>
    <row r="84" spans="1:1" x14ac:dyDescent="0.2">
      <c r="A84" t="s">
        <v>610</v>
      </c>
    </row>
    <row r="86" spans="1:1" x14ac:dyDescent="0.2">
      <c r="A86" t="s">
        <v>611</v>
      </c>
    </row>
    <row r="88" spans="1:1" x14ac:dyDescent="0.2">
      <c r="A88" t="s">
        <v>612</v>
      </c>
    </row>
    <row r="90" spans="1:1" x14ac:dyDescent="0.2">
      <c r="A90" t="s">
        <v>613</v>
      </c>
    </row>
    <row r="92" spans="1:1" x14ac:dyDescent="0.2">
      <c r="A92" t="s">
        <v>614</v>
      </c>
    </row>
    <row r="94" spans="1:1" x14ac:dyDescent="0.2">
      <c r="A94" t="s">
        <v>615</v>
      </c>
    </row>
    <row r="96" spans="1:1" x14ac:dyDescent="0.2">
      <c r="A96" t="s">
        <v>616</v>
      </c>
    </row>
    <row r="98" spans="1:1" x14ac:dyDescent="0.2">
      <c r="A98" t="s">
        <v>617</v>
      </c>
    </row>
    <row r="99" spans="1:1" x14ac:dyDescent="0.2">
      <c r="A99" t="s">
        <v>618</v>
      </c>
    </row>
    <row r="101" spans="1:1" x14ac:dyDescent="0.2">
      <c r="A101" s="10" t="s">
        <v>420</v>
      </c>
    </row>
    <row r="103" spans="1:1" x14ac:dyDescent="0.2">
      <c r="A103" t="s">
        <v>621</v>
      </c>
    </row>
    <row r="105" spans="1:1" x14ac:dyDescent="0.2">
      <c r="A105" t="s">
        <v>622</v>
      </c>
    </row>
    <row r="107" spans="1:1" x14ac:dyDescent="0.2">
      <c r="A107" t="s">
        <v>623</v>
      </c>
    </row>
    <row r="109" spans="1:1" x14ac:dyDescent="0.2">
      <c r="A109" t="s">
        <v>624</v>
      </c>
    </row>
    <row r="111" spans="1:1" x14ac:dyDescent="0.2">
      <c r="A111" s="10" t="s">
        <v>425</v>
      </c>
    </row>
    <row r="113" spans="1:1" x14ac:dyDescent="0.2">
      <c r="A113" t="s">
        <v>625</v>
      </c>
    </row>
    <row r="115" spans="1:1" x14ac:dyDescent="0.2">
      <c r="A115" t="s">
        <v>626</v>
      </c>
    </row>
    <row r="117" spans="1:1" x14ac:dyDescent="0.2">
      <c r="A117" t="s">
        <v>627</v>
      </c>
    </row>
    <row r="119" spans="1:1" x14ac:dyDescent="0.2">
      <c r="A119" s="10" t="s">
        <v>429</v>
      </c>
    </row>
    <row r="121" spans="1:1" x14ac:dyDescent="0.2">
      <c r="A121" t="s">
        <v>628</v>
      </c>
    </row>
    <row r="123" spans="1:1" x14ac:dyDescent="0.2">
      <c r="A123" t="s">
        <v>212</v>
      </c>
    </row>
    <row r="125" spans="1:1" x14ac:dyDescent="0.2">
      <c r="A125" t="s">
        <v>629</v>
      </c>
    </row>
    <row r="127" spans="1:1" x14ac:dyDescent="0.2">
      <c r="A127" t="s">
        <v>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Form Responses 1</vt:lpstr>
      <vt:lpstr>Closed_ended questions</vt:lpstr>
      <vt:lpstr>Q1_OpenEnded</vt:lpstr>
      <vt:lpstr>Q2_OpenEnded</vt:lpstr>
      <vt:lpstr>Q3_OpenEnded</vt:lpstr>
      <vt:lpstr>Q4_OpenEnded</vt:lpstr>
      <vt:lpstr>Q5_OpenEnded</vt:lpstr>
      <vt:lpstr>Q6_OpenEnded</vt:lpstr>
      <vt:lpstr>Q7_OpenEnded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2026-02-02T19:02:19Z</dcterms:created>
  <dcterms:modified xsi:type="dcterms:W3CDTF">2026-02-10T05:03:30Z</dcterms:modified>
</cp:coreProperties>
</file>